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Liliana\Downloads\"/>
    </mc:Choice>
  </mc:AlternateContent>
  <xr:revisionPtr revIDLastSave="0" documentId="13_ncr:1_{27DA2D11-D1A8-433B-9C53-F49817E7F6DA}" xr6:coauthVersionLast="47" xr6:coauthVersionMax="47" xr10:uidLastSave="{00000000-0000-0000-0000-000000000000}"/>
  <bookViews>
    <workbookView xWindow="-98" yWindow="-98" windowWidth="23236" windowHeight="13875" tabRatio="937" firstSheet="1" activeTab="4" xr2:uid="{00000000-000D-0000-FFFF-FFFF00000000}"/>
  </bookViews>
  <sheets>
    <sheet name="total mil euro" sheetId="1" r:id="rId1"/>
    <sheet name="energy tax mil euro" sheetId="2" r:id="rId2"/>
    <sheet name="transport tax mil euro" sheetId="3" r:id="rId3"/>
    <sheet name="pol tax mil euro" sheetId="4" r:id="rId4"/>
    <sheet name="POPULATION" sheetId="6" r:id="rId5"/>
    <sheet name="total tax euro pers" sheetId="8" r:id="rId6"/>
    <sheet name="energy tax euro pers" sheetId="9" r:id="rId7"/>
    <sheet name="transport tax euro pers" sheetId="10" r:id="rId8"/>
    <sheet name="pol tax euro pers" sheetId="11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1" l="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10" i="11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10" i="10"/>
  <c r="C10" i="9"/>
  <c r="D10" i="9"/>
  <c r="E10" i="9"/>
  <c r="F10" i="9"/>
  <c r="G10" i="9"/>
  <c r="H10" i="9"/>
  <c r="I10" i="9"/>
  <c r="J10" i="9"/>
  <c r="K10" i="9"/>
  <c r="L10" i="9"/>
  <c r="M10" i="9"/>
  <c r="N10" i="9"/>
  <c r="O10" i="9"/>
  <c r="P10" i="9"/>
  <c r="Q10" i="9"/>
  <c r="R10" i="9"/>
  <c r="S10" i="9"/>
  <c r="T10" i="9"/>
  <c r="U10" i="9"/>
  <c r="V10" i="9"/>
  <c r="W10" i="9"/>
  <c r="X10" i="9"/>
  <c r="Y10" i="9"/>
  <c r="Z10" i="9"/>
  <c r="AA10" i="9"/>
  <c r="AB10" i="9"/>
  <c r="AC10" i="9"/>
  <c r="AD10" i="9"/>
  <c r="AE10" i="9"/>
  <c r="C11" i="9"/>
  <c r="D11" i="9"/>
  <c r="E11" i="9"/>
  <c r="F11" i="9"/>
  <c r="G11" i="9"/>
  <c r="H11" i="9"/>
  <c r="I11" i="9"/>
  <c r="J11" i="9"/>
  <c r="K11" i="9"/>
  <c r="L11" i="9"/>
  <c r="M11" i="9"/>
  <c r="N11" i="9"/>
  <c r="O11" i="9"/>
  <c r="P11" i="9"/>
  <c r="Q11" i="9"/>
  <c r="R11" i="9"/>
  <c r="S11" i="9"/>
  <c r="T11" i="9"/>
  <c r="U11" i="9"/>
  <c r="V11" i="9"/>
  <c r="W11" i="9"/>
  <c r="X11" i="9"/>
  <c r="Y11" i="9"/>
  <c r="Z11" i="9"/>
  <c r="AA11" i="9"/>
  <c r="AB11" i="9"/>
  <c r="AC11" i="9"/>
  <c r="AD11" i="9"/>
  <c r="AE11" i="9"/>
  <c r="C12" i="9"/>
  <c r="D12" i="9"/>
  <c r="E12" i="9"/>
  <c r="F12" i="9"/>
  <c r="G12" i="9"/>
  <c r="H12" i="9"/>
  <c r="I12" i="9"/>
  <c r="J12" i="9"/>
  <c r="K12" i="9"/>
  <c r="L12" i="9"/>
  <c r="M12" i="9"/>
  <c r="N12" i="9"/>
  <c r="O12" i="9"/>
  <c r="P12" i="9"/>
  <c r="Q12" i="9"/>
  <c r="R12" i="9"/>
  <c r="S12" i="9"/>
  <c r="T12" i="9"/>
  <c r="U12" i="9"/>
  <c r="V12" i="9"/>
  <c r="W12" i="9"/>
  <c r="X12" i="9"/>
  <c r="Y12" i="9"/>
  <c r="Z12" i="9"/>
  <c r="AA12" i="9"/>
  <c r="AB12" i="9"/>
  <c r="AC12" i="9"/>
  <c r="AD12" i="9"/>
  <c r="AE12" i="9"/>
  <c r="C13" i="9"/>
  <c r="D13" i="9"/>
  <c r="E13" i="9"/>
  <c r="F13" i="9"/>
  <c r="G13" i="9"/>
  <c r="H13" i="9"/>
  <c r="I13" i="9"/>
  <c r="J13" i="9"/>
  <c r="K13" i="9"/>
  <c r="L13" i="9"/>
  <c r="M13" i="9"/>
  <c r="N13" i="9"/>
  <c r="O13" i="9"/>
  <c r="P13" i="9"/>
  <c r="Q13" i="9"/>
  <c r="R13" i="9"/>
  <c r="S13" i="9"/>
  <c r="T13" i="9"/>
  <c r="U13" i="9"/>
  <c r="V13" i="9"/>
  <c r="W13" i="9"/>
  <c r="X13" i="9"/>
  <c r="Y13" i="9"/>
  <c r="Z13" i="9"/>
  <c r="AA13" i="9"/>
  <c r="AB13" i="9"/>
  <c r="AC13" i="9"/>
  <c r="AD13" i="9"/>
  <c r="AE13" i="9"/>
  <c r="C14" i="9"/>
  <c r="D14" i="9"/>
  <c r="E14" i="9"/>
  <c r="F14" i="9"/>
  <c r="G14" i="9"/>
  <c r="H14" i="9"/>
  <c r="I14" i="9"/>
  <c r="J14" i="9"/>
  <c r="K14" i="9"/>
  <c r="L14" i="9"/>
  <c r="M14" i="9"/>
  <c r="N14" i="9"/>
  <c r="O14" i="9"/>
  <c r="P14" i="9"/>
  <c r="Q14" i="9"/>
  <c r="R14" i="9"/>
  <c r="S14" i="9"/>
  <c r="T14" i="9"/>
  <c r="U14" i="9"/>
  <c r="V14" i="9"/>
  <c r="W14" i="9"/>
  <c r="X14" i="9"/>
  <c r="Y14" i="9"/>
  <c r="Z14" i="9"/>
  <c r="AA14" i="9"/>
  <c r="AB14" i="9"/>
  <c r="AC14" i="9"/>
  <c r="AD14" i="9"/>
  <c r="AE14" i="9"/>
  <c r="C15" i="9"/>
  <c r="D15" i="9"/>
  <c r="E15" i="9"/>
  <c r="F15" i="9"/>
  <c r="G15" i="9"/>
  <c r="H15" i="9"/>
  <c r="I15" i="9"/>
  <c r="J15" i="9"/>
  <c r="K15" i="9"/>
  <c r="L15" i="9"/>
  <c r="M15" i="9"/>
  <c r="N15" i="9"/>
  <c r="O15" i="9"/>
  <c r="P15" i="9"/>
  <c r="Q15" i="9"/>
  <c r="R15" i="9"/>
  <c r="S15" i="9"/>
  <c r="T15" i="9"/>
  <c r="U15" i="9"/>
  <c r="V15" i="9"/>
  <c r="W15" i="9"/>
  <c r="X15" i="9"/>
  <c r="Y15" i="9"/>
  <c r="Z15" i="9"/>
  <c r="AA15" i="9"/>
  <c r="AB15" i="9"/>
  <c r="AC15" i="9"/>
  <c r="AD15" i="9"/>
  <c r="AE15" i="9"/>
  <c r="C16" i="9"/>
  <c r="D16" i="9"/>
  <c r="E16" i="9"/>
  <c r="F16" i="9"/>
  <c r="G16" i="9"/>
  <c r="H16" i="9"/>
  <c r="I16" i="9"/>
  <c r="J16" i="9"/>
  <c r="K16" i="9"/>
  <c r="L16" i="9"/>
  <c r="M16" i="9"/>
  <c r="N16" i="9"/>
  <c r="O16" i="9"/>
  <c r="P16" i="9"/>
  <c r="Q16" i="9"/>
  <c r="R16" i="9"/>
  <c r="S16" i="9"/>
  <c r="T16" i="9"/>
  <c r="U16" i="9"/>
  <c r="V16" i="9"/>
  <c r="W16" i="9"/>
  <c r="X16" i="9"/>
  <c r="Y16" i="9"/>
  <c r="Z16" i="9"/>
  <c r="AA16" i="9"/>
  <c r="AB16" i="9"/>
  <c r="AC16" i="9"/>
  <c r="AD16" i="9"/>
  <c r="AE16" i="9"/>
  <c r="C17" i="9"/>
  <c r="D17" i="9"/>
  <c r="E17" i="9"/>
  <c r="F17" i="9"/>
  <c r="G17" i="9"/>
  <c r="H17" i="9"/>
  <c r="I17" i="9"/>
  <c r="J17" i="9"/>
  <c r="K17" i="9"/>
  <c r="L17" i="9"/>
  <c r="M17" i="9"/>
  <c r="N17" i="9"/>
  <c r="O17" i="9"/>
  <c r="P17" i="9"/>
  <c r="Q17" i="9"/>
  <c r="R17" i="9"/>
  <c r="S17" i="9"/>
  <c r="T17" i="9"/>
  <c r="U17" i="9"/>
  <c r="V17" i="9"/>
  <c r="W17" i="9"/>
  <c r="X17" i="9"/>
  <c r="Y17" i="9"/>
  <c r="Z17" i="9"/>
  <c r="AA17" i="9"/>
  <c r="AB17" i="9"/>
  <c r="AC17" i="9"/>
  <c r="AD17" i="9"/>
  <c r="AE17" i="9"/>
  <c r="C18" i="9"/>
  <c r="D18" i="9"/>
  <c r="E18" i="9"/>
  <c r="F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AA18" i="9"/>
  <c r="AB18" i="9"/>
  <c r="AC18" i="9"/>
  <c r="AD18" i="9"/>
  <c r="AE18" i="9"/>
  <c r="C19" i="9"/>
  <c r="D19" i="9"/>
  <c r="E19" i="9"/>
  <c r="F19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T19" i="9"/>
  <c r="U19" i="9"/>
  <c r="V19" i="9"/>
  <c r="W19" i="9"/>
  <c r="X19" i="9"/>
  <c r="Y19" i="9"/>
  <c r="Z19" i="9"/>
  <c r="AA19" i="9"/>
  <c r="AB19" i="9"/>
  <c r="AC19" i="9"/>
  <c r="AD19" i="9"/>
  <c r="AE19" i="9"/>
  <c r="C20" i="9"/>
  <c r="D20" i="9"/>
  <c r="E20" i="9"/>
  <c r="F20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AA20" i="9"/>
  <c r="AB20" i="9"/>
  <c r="AC20" i="9"/>
  <c r="AD20" i="9"/>
  <c r="AE20" i="9"/>
  <c r="C21" i="9"/>
  <c r="D21" i="9"/>
  <c r="E21" i="9"/>
  <c r="F21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Y21" i="9"/>
  <c r="Z21" i="9"/>
  <c r="AA21" i="9"/>
  <c r="AB21" i="9"/>
  <c r="AC21" i="9"/>
  <c r="AD21" i="9"/>
  <c r="AE21" i="9"/>
  <c r="C22" i="9"/>
  <c r="D22" i="9"/>
  <c r="E22" i="9"/>
  <c r="F22" i="9"/>
  <c r="G22" i="9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Y22" i="9"/>
  <c r="Z22" i="9"/>
  <c r="AA22" i="9"/>
  <c r="AB22" i="9"/>
  <c r="AC22" i="9"/>
  <c r="AD22" i="9"/>
  <c r="AE22" i="9"/>
  <c r="C23" i="9"/>
  <c r="D23" i="9"/>
  <c r="E23" i="9"/>
  <c r="F23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Y23" i="9"/>
  <c r="Z23" i="9"/>
  <c r="AA23" i="9"/>
  <c r="AB23" i="9"/>
  <c r="AC23" i="9"/>
  <c r="AD23" i="9"/>
  <c r="AE23" i="9"/>
  <c r="C24" i="9"/>
  <c r="D24" i="9"/>
  <c r="E24" i="9"/>
  <c r="F24" i="9"/>
  <c r="G24" i="9"/>
  <c r="H24" i="9"/>
  <c r="I24" i="9"/>
  <c r="J24" i="9"/>
  <c r="K24" i="9"/>
  <c r="L24" i="9"/>
  <c r="M24" i="9"/>
  <c r="N24" i="9"/>
  <c r="O24" i="9"/>
  <c r="P24" i="9"/>
  <c r="Q24" i="9"/>
  <c r="R24" i="9"/>
  <c r="S24" i="9"/>
  <c r="T24" i="9"/>
  <c r="U24" i="9"/>
  <c r="V24" i="9"/>
  <c r="W24" i="9"/>
  <c r="X24" i="9"/>
  <c r="Y24" i="9"/>
  <c r="Z24" i="9"/>
  <c r="AA24" i="9"/>
  <c r="AB24" i="9"/>
  <c r="AC24" i="9"/>
  <c r="AD24" i="9"/>
  <c r="AE24" i="9"/>
  <c r="C25" i="9"/>
  <c r="D25" i="9"/>
  <c r="E25" i="9"/>
  <c r="F25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C26" i="9"/>
  <c r="D26" i="9"/>
  <c r="E26" i="9"/>
  <c r="F26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C27" i="9"/>
  <c r="D27" i="9"/>
  <c r="E27" i="9"/>
  <c r="F27" i="9"/>
  <c r="G27" i="9"/>
  <c r="H27" i="9"/>
  <c r="I27" i="9"/>
  <c r="J27" i="9"/>
  <c r="K27" i="9"/>
  <c r="L27" i="9"/>
  <c r="M27" i="9"/>
  <c r="N27" i="9"/>
  <c r="O27" i="9"/>
  <c r="P27" i="9"/>
  <c r="Q27" i="9"/>
  <c r="R27" i="9"/>
  <c r="S27" i="9"/>
  <c r="T27" i="9"/>
  <c r="U27" i="9"/>
  <c r="V27" i="9"/>
  <c r="W27" i="9"/>
  <c r="X27" i="9"/>
  <c r="Y27" i="9"/>
  <c r="Z27" i="9"/>
  <c r="AA27" i="9"/>
  <c r="AB27" i="9"/>
  <c r="AC27" i="9"/>
  <c r="AD27" i="9"/>
  <c r="AE27" i="9"/>
  <c r="C28" i="9"/>
  <c r="D28" i="9"/>
  <c r="E28" i="9"/>
  <c r="F28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X28" i="9"/>
  <c r="Y28" i="9"/>
  <c r="Z28" i="9"/>
  <c r="AA28" i="9"/>
  <c r="AB28" i="9"/>
  <c r="AC28" i="9"/>
  <c r="AD28" i="9"/>
  <c r="AE28" i="9"/>
  <c r="C29" i="9"/>
  <c r="D29" i="9"/>
  <c r="E29" i="9"/>
  <c r="F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T29" i="9"/>
  <c r="U29" i="9"/>
  <c r="V29" i="9"/>
  <c r="W29" i="9"/>
  <c r="X29" i="9"/>
  <c r="Y29" i="9"/>
  <c r="Z29" i="9"/>
  <c r="AA29" i="9"/>
  <c r="AB29" i="9"/>
  <c r="AC29" i="9"/>
  <c r="AD29" i="9"/>
  <c r="AE29" i="9"/>
  <c r="C30" i="9"/>
  <c r="D30" i="9"/>
  <c r="E30" i="9"/>
  <c r="F30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T30" i="9"/>
  <c r="U30" i="9"/>
  <c r="V30" i="9"/>
  <c r="W30" i="9"/>
  <c r="X30" i="9"/>
  <c r="Y30" i="9"/>
  <c r="Z30" i="9"/>
  <c r="AA30" i="9"/>
  <c r="AB30" i="9"/>
  <c r="AC30" i="9"/>
  <c r="AD30" i="9"/>
  <c r="AE30" i="9"/>
  <c r="C31" i="9"/>
  <c r="D31" i="9"/>
  <c r="E31" i="9"/>
  <c r="F31" i="9"/>
  <c r="G31" i="9"/>
  <c r="H31" i="9"/>
  <c r="I31" i="9"/>
  <c r="J31" i="9"/>
  <c r="K31" i="9"/>
  <c r="L31" i="9"/>
  <c r="M31" i="9"/>
  <c r="N31" i="9"/>
  <c r="O31" i="9"/>
  <c r="P31" i="9"/>
  <c r="Q31" i="9"/>
  <c r="R31" i="9"/>
  <c r="S31" i="9"/>
  <c r="T31" i="9"/>
  <c r="U31" i="9"/>
  <c r="V31" i="9"/>
  <c r="W31" i="9"/>
  <c r="X31" i="9"/>
  <c r="Y31" i="9"/>
  <c r="Z31" i="9"/>
  <c r="AA31" i="9"/>
  <c r="AB31" i="9"/>
  <c r="AC31" i="9"/>
  <c r="AD31" i="9"/>
  <c r="AE31" i="9"/>
  <c r="C32" i="9"/>
  <c r="D32" i="9"/>
  <c r="E32" i="9"/>
  <c r="F32" i="9"/>
  <c r="G32" i="9"/>
  <c r="H32" i="9"/>
  <c r="I32" i="9"/>
  <c r="J32" i="9"/>
  <c r="K32" i="9"/>
  <c r="L32" i="9"/>
  <c r="M32" i="9"/>
  <c r="N32" i="9"/>
  <c r="O32" i="9"/>
  <c r="P32" i="9"/>
  <c r="Q32" i="9"/>
  <c r="R32" i="9"/>
  <c r="S32" i="9"/>
  <c r="T32" i="9"/>
  <c r="U32" i="9"/>
  <c r="V32" i="9"/>
  <c r="W32" i="9"/>
  <c r="X32" i="9"/>
  <c r="Y32" i="9"/>
  <c r="Z32" i="9"/>
  <c r="AA32" i="9"/>
  <c r="AB32" i="9"/>
  <c r="AC32" i="9"/>
  <c r="AD32" i="9"/>
  <c r="AE32" i="9"/>
  <c r="C33" i="9"/>
  <c r="D33" i="9"/>
  <c r="E33" i="9"/>
  <c r="F33" i="9"/>
  <c r="G33" i="9"/>
  <c r="H33" i="9"/>
  <c r="I33" i="9"/>
  <c r="J33" i="9"/>
  <c r="K33" i="9"/>
  <c r="L33" i="9"/>
  <c r="M33" i="9"/>
  <c r="N33" i="9"/>
  <c r="O33" i="9"/>
  <c r="P33" i="9"/>
  <c r="Q33" i="9"/>
  <c r="R33" i="9"/>
  <c r="S33" i="9"/>
  <c r="T33" i="9"/>
  <c r="U33" i="9"/>
  <c r="V33" i="9"/>
  <c r="W33" i="9"/>
  <c r="X33" i="9"/>
  <c r="Y33" i="9"/>
  <c r="Z33" i="9"/>
  <c r="AA33" i="9"/>
  <c r="AB33" i="9"/>
  <c r="AC33" i="9"/>
  <c r="AD33" i="9"/>
  <c r="AE33" i="9"/>
  <c r="C34" i="9"/>
  <c r="D34" i="9"/>
  <c r="E34" i="9"/>
  <c r="F34" i="9"/>
  <c r="G34" i="9"/>
  <c r="H34" i="9"/>
  <c r="I34" i="9"/>
  <c r="J34" i="9"/>
  <c r="K34" i="9"/>
  <c r="L34" i="9"/>
  <c r="M34" i="9"/>
  <c r="N34" i="9"/>
  <c r="O34" i="9"/>
  <c r="P34" i="9"/>
  <c r="Q34" i="9"/>
  <c r="R34" i="9"/>
  <c r="S34" i="9"/>
  <c r="T34" i="9"/>
  <c r="U34" i="9"/>
  <c r="V34" i="9"/>
  <c r="W34" i="9"/>
  <c r="X34" i="9"/>
  <c r="Y34" i="9"/>
  <c r="Z34" i="9"/>
  <c r="AA34" i="9"/>
  <c r="AB34" i="9"/>
  <c r="AC34" i="9"/>
  <c r="AD34" i="9"/>
  <c r="AE34" i="9"/>
  <c r="C35" i="9"/>
  <c r="D35" i="9"/>
  <c r="E35" i="9"/>
  <c r="F35" i="9"/>
  <c r="G35" i="9"/>
  <c r="H35" i="9"/>
  <c r="I35" i="9"/>
  <c r="J35" i="9"/>
  <c r="K35" i="9"/>
  <c r="L35" i="9"/>
  <c r="M35" i="9"/>
  <c r="N35" i="9"/>
  <c r="O35" i="9"/>
  <c r="P35" i="9"/>
  <c r="Q35" i="9"/>
  <c r="R35" i="9"/>
  <c r="S35" i="9"/>
  <c r="T35" i="9"/>
  <c r="U35" i="9"/>
  <c r="V35" i="9"/>
  <c r="W35" i="9"/>
  <c r="X35" i="9"/>
  <c r="Y35" i="9"/>
  <c r="Z35" i="9"/>
  <c r="AA35" i="9"/>
  <c r="AB35" i="9"/>
  <c r="AC35" i="9"/>
  <c r="AD35" i="9"/>
  <c r="AE35" i="9"/>
  <c r="C36" i="9"/>
  <c r="D36" i="9"/>
  <c r="E36" i="9"/>
  <c r="F36" i="9"/>
  <c r="G36" i="9"/>
  <c r="H36" i="9"/>
  <c r="I36" i="9"/>
  <c r="J36" i="9"/>
  <c r="K36" i="9"/>
  <c r="L36" i="9"/>
  <c r="M36" i="9"/>
  <c r="N36" i="9"/>
  <c r="O36" i="9"/>
  <c r="P36" i="9"/>
  <c r="Q36" i="9"/>
  <c r="R36" i="9"/>
  <c r="S36" i="9"/>
  <c r="T36" i="9"/>
  <c r="U36" i="9"/>
  <c r="V36" i="9"/>
  <c r="W36" i="9"/>
  <c r="X36" i="9"/>
  <c r="Y36" i="9"/>
  <c r="Z36" i="9"/>
  <c r="AA36" i="9"/>
  <c r="AB36" i="9"/>
  <c r="AC36" i="9"/>
  <c r="AD36" i="9"/>
  <c r="AE36" i="9"/>
  <c r="C37" i="9"/>
  <c r="D37" i="9"/>
  <c r="E37" i="9"/>
  <c r="F37" i="9"/>
  <c r="G37" i="9"/>
  <c r="H37" i="9"/>
  <c r="I37" i="9"/>
  <c r="J37" i="9"/>
  <c r="K37" i="9"/>
  <c r="L37" i="9"/>
  <c r="M37" i="9"/>
  <c r="N37" i="9"/>
  <c r="O37" i="9"/>
  <c r="P37" i="9"/>
  <c r="Q37" i="9"/>
  <c r="R37" i="9"/>
  <c r="S37" i="9"/>
  <c r="T37" i="9"/>
  <c r="U37" i="9"/>
  <c r="V37" i="9"/>
  <c r="W37" i="9"/>
  <c r="X37" i="9"/>
  <c r="Y37" i="9"/>
  <c r="Z37" i="9"/>
  <c r="AA37" i="9"/>
  <c r="AB37" i="9"/>
  <c r="AC37" i="9"/>
  <c r="AD37" i="9"/>
  <c r="AE37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10" i="9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10" i="8"/>
</calcChain>
</file>

<file path=xl/sharedStrings.xml><?xml version="1.0" encoding="utf-8"?>
<sst xmlns="http://schemas.openxmlformats.org/spreadsheetml/2006/main" count="625" uniqueCount="81">
  <si>
    <t>Data extracted on 30/04/2026 21:21:12 from [ESTAT]</t>
  </si>
  <si>
    <t xml:space="preserve">Dataset: </t>
  </si>
  <si>
    <t>Environmental tax revenues [env_ac_tax__custom_21261132]</t>
  </si>
  <si>
    <t xml:space="preserve">Last updated: </t>
  </si>
  <si>
    <t>10/02/2026 23:00</t>
  </si>
  <si>
    <t>Time frequency</t>
  </si>
  <si>
    <t>Annual</t>
  </si>
  <si>
    <t>Taxes</t>
  </si>
  <si>
    <t>Total environmental taxes</t>
  </si>
  <si>
    <t>Unit of measure</t>
  </si>
  <si>
    <t>Million euro</t>
  </si>
  <si>
    <t>TIME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</si>
  <si>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</si>
  <si>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</si>
  <si>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</si>
  <si>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</si>
  <si>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</si>
  <si>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</si>
  <si>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</si>
  <si>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</si>
  <si>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</si>
  <si>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</si>
  <si>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</si>
  <si>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</si>
  <si>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</si>
  <si>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</si>
  <si>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</si>
  <si>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</si>
  <si>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</si>
  <si>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</si>
  <si>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</si>
  <si>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</si>
  <si>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</si>
  <si>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</si>
  <si>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</si>
  <si>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</si>
  <si>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</si>
  <si>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</si>
  <si>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</si>
  <si>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</si>
  <si>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</si>
  <si>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</si>
  <si>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European Union - 27 countries (from 2020)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</si>
  <si>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</si>
  <si>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</si>
  <si>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</si>
  <si>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</si>
  <si>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</si>
  <si>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</si>
  <si>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</si>
  <si>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</si>
  <si>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</si>
  <si>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</si>
  <si>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</si>
  <si>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</si>
  <si>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</si>
  <si>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</si>
  <si>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</si>
  <si>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</si>
  <si>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</si>
  <si>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</si>
  <si>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</si>
  <si>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</si>
  <si>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</si>
  <si>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</si>
  <si>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</si>
  <si>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</si>
  <si>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</si>
  <si>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</si>
  <si>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</si>
  <si>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Energy taxes</t>
  </si>
  <si>
    <t>Transport taxes</t>
  </si>
  <si>
    <t>Taxes on pollution/resources</t>
  </si>
  <si>
    <t>Data extracted on 30/04/2026 21:18:31 from [ESTAT]</t>
  </si>
  <si>
    <t>Population on 1 January by age and sex [demo_pjan__custom_21261123]</t>
  </si>
  <si>
    <t>09/04/2026 23:00</t>
  </si>
  <si>
    <t>Number</t>
  </si>
  <si>
    <t>Age class</t>
  </si>
  <si>
    <t>Total</t>
  </si>
  <si>
    <t>Sex</t>
  </si>
  <si>
    <t>euro/pers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</si>
</sst>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78" formatCode="#,##0.##"/>
  </numFmts>
  <fonts count="5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DCE6F1"/>
      </patternFill>
    </fill>
    <fill>
      <patternFill patternType="solid">
        <fgColor rgb="FFF6F6F6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3" fontId="2" fillId="0" borderId="0" xfId="0" applyNumberFormat="1" applyFont="1" applyAlignment="1">
      <alignment horizontal="right" vertical="center" shrinkToFit="1"/>
    </xf>
    <xf numFmtId="3" fontId="2" fillId="4" borderId="0" xfId="0" applyNumberFormat="1" applyFont="1" applyFill="1" applyAlignment="1">
      <alignment horizontal="right" vertical="center" shrinkToFit="1"/>
    </xf>
    <xf numFmtId="164" fontId="2" fillId="0" borderId="0" xfId="0" applyNumberFormat="1" applyFont="1" applyAlignment="1">
      <alignment horizontal="right" vertical="center" shrinkToFit="1"/>
    </xf>
    <xf numFmtId="164" fontId="2" fillId="4" borderId="0" xfId="0" applyNumberFormat="1" applyFont="1" applyFill="1" applyAlignment="1">
      <alignment horizontal="right" vertical="center" shrinkToFit="1"/>
    </xf>
    <xf numFmtId="0" fontId="3" fillId="2" borderId="2" xfId="0" applyFont="1" applyFill="1" applyBorder="1" applyAlignment="1">
      <alignment horizontal="left" vertical="center"/>
    </xf>
    <xf numFmtId="2" fontId="4" fillId="3" borderId="1" xfId="0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178" fontId="2" fillId="0" borderId="0" xfId="0" applyNumberFormat="1" applyFont="1" applyAlignment="1">
      <alignment horizontal="righ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E37"/>
  <sheetViews>
    <sheetView workbookViewId="0">
      <pane xSplit="1" ySplit="9" topLeftCell="B10" activePane="bottomRight" state="frozen"/>
      <selection pane="topRight"/>
      <selection pane="bottomLeft"/>
      <selection pane="bottomRight" activeCell="A37" sqref="A10:A37"/>
    </sheetView>
  </sheetViews>
  <sheetFormatPr defaultRowHeight="11.35" customHeight="1" x14ac:dyDescent="0.45"/>
  <cols>
    <col min="1" max="1" width="29.86328125" customWidth="1"/>
    <col min="2" max="31" width="9.9296875" customWidth="1"/>
  </cols>
  <sheetData>
    <row r="1" spans="1:31" ht="11.35" customHeight="1" x14ac:dyDescent="0.45">
      <c r="A1" s="2" t="s">
        <v>0</v>
      </c>
    </row>
    <row r="2" spans="1:31" ht="11.35" customHeight="1" x14ac:dyDescent="0.45">
      <c r="A2" s="2" t="s">
        <v>1</v>
      </c>
      <c r="C2" s="1" t="s">
        <v>2</v>
      </c>
    </row>
    <row r="3" spans="1:31" ht="11.35" customHeight="1" x14ac:dyDescent="0.45">
      <c r="A3" s="2" t="s">
        <v>3</v>
      </c>
      <c r="C3" s="2" t="s">
        <v>4</v>
      </c>
    </row>
    <row r="5" spans="1:31" ht="11.35" customHeight="1" x14ac:dyDescent="0.45">
      <c r="A5" s="1" t="s">
        <v>5</v>
      </c>
      <c r="C5" s="2" t="s">
        <v>6</v>
      </c>
    </row>
    <row r="6" spans="1:31" ht="11.35" customHeight="1" x14ac:dyDescent="0.45">
      <c r="A6" s="1" t="s">
        <v>7</v>
      </c>
      <c r="C6" s="2" t="s">
        <v>8</v>
      </c>
    </row>
    <row r="7" spans="1:31" ht="11.35" customHeight="1" x14ac:dyDescent="0.45">
      <c r="A7" s="1" t="s">
        <v>9</v>
      </c>
      <c r="C7" s="2" t="s">
        <v>10</v>
      </c>
    </row>
    <row r="9" spans="1:31" ht="11.35" customHeight="1" x14ac:dyDescent="0.45">
      <c r="A9" s="4" t="s">
        <v>11</v>
      </c>
      <c r="B9" s="3" t="s">
        <v>12</v>
      </c>
      <c r="C9" s="3" t="s">
        <v>13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  <c r="J9" s="3" t="s">
        <v>20</v>
      </c>
      <c r="K9" s="3" t="s">
        <v>21</v>
      </c>
      <c r="L9" s="3" t="s">
        <v>22</v>
      </c>
      <c r="M9" s="3" t="s">
        <v>23</v>
      </c>
      <c r="N9" s="3" t="s">
        <v>24</v>
      </c>
      <c r="O9" s="3" t="s">
        <v>25</v>
      </c>
      <c r="P9" s="3" t="s">
        <v>26</v>
      </c>
      <c r="Q9" s="3" t="s">
        <v>27</v>
      </c>
      <c r="R9" s="3" t="s">
        <v>28</v>
      </c>
      <c r="S9" s="3">
        <v>2012</v>
      </c>
      <c r="T9" s="3" t="s">
        <v>30</v>
      </c>
      <c r="U9" s="3" t="s">
        <v>31</v>
      </c>
      <c r="V9" s="3" t="s">
        <v>32</v>
      </c>
      <c r="W9" s="3" t="s">
        <v>33</v>
      </c>
      <c r="X9" s="3" t="s">
        <v>34</v>
      </c>
      <c r="Y9" s="3" t="s">
        <v>35</v>
      </c>
      <c r="Z9" s="3" t="s">
        <v>36</v>
      </c>
      <c r="AA9" s="3" t="s">
        <v>37</v>
      </c>
      <c r="AB9" s="3" t="s">
        <v>38</v>
      </c>
      <c r="AC9" s="3" t="s">
        <v>39</v>
      </c>
      <c r="AD9" s="3" t="s">
        <v>40</v>
      </c>
      <c r="AE9" s="3" t="s">
        <v>41</v>
      </c>
    </row>
    <row r="10" spans="1:31" ht="11.35" customHeight="1" x14ac:dyDescent="0.45">
      <c r="A10" s="5" t="s">
        <v>42</v>
      </c>
      <c r="B10" s="8">
        <v>163637.53</v>
      </c>
      <c r="C10" s="8">
        <v>175161.19</v>
      </c>
      <c r="D10" s="8">
        <v>177813.19</v>
      </c>
      <c r="E10" s="8">
        <v>186225.81</v>
      </c>
      <c r="F10" s="8">
        <v>199230.91</v>
      </c>
      <c r="G10" s="8">
        <v>203466.33</v>
      </c>
      <c r="H10" s="8">
        <v>212219.82</v>
      </c>
      <c r="I10" s="8">
        <v>221348.93</v>
      </c>
      <c r="J10" s="8">
        <v>231288.33</v>
      </c>
      <c r="K10" s="8">
        <v>241164.92</v>
      </c>
      <c r="L10" s="8">
        <v>249050.84</v>
      </c>
      <c r="M10" s="8">
        <v>258008.64</v>
      </c>
      <c r="N10" s="8">
        <v>264534.24</v>
      </c>
      <c r="O10" s="8">
        <v>267315.42</v>
      </c>
      <c r="P10" s="8">
        <v>266578.09999999998</v>
      </c>
      <c r="Q10" s="8">
        <v>273355.06</v>
      </c>
      <c r="R10" s="8">
        <v>290990.94</v>
      </c>
      <c r="S10" s="8">
        <v>297600.15000000002</v>
      </c>
      <c r="T10" s="8">
        <v>310953.86</v>
      </c>
      <c r="U10" s="8">
        <v>322701.67</v>
      </c>
      <c r="V10" s="8">
        <v>329560.57</v>
      </c>
      <c r="W10" s="8">
        <v>341554.87</v>
      </c>
      <c r="X10" s="8">
        <v>349286.72</v>
      </c>
      <c r="Y10" s="8">
        <v>355584.51</v>
      </c>
      <c r="Z10" s="8">
        <v>363045.78</v>
      </c>
      <c r="AA10" s="8">
        <v>334895.99</v>
      </c>
      <c r="AB10" s="8">
        <v>353649.87</v>
      </c>
      <c r="AC10" s="8">
        <v>340830.67</v>
      </c>
      <c r="AD10" s="8">
        <v>355996.78</v>
      </c>
      <c r="AE10" s="8">
        <v>374756.86</v>
      </c>
    </row>
    <row r="11" spans="1:31" ht="11.35" customHeight="1" x14ac:dyDescent="0.45">
      <c r="A11" s="5" t="s">
        <v>43</v>
      </c>
      <c r="B11" s="9">
        <v>5303.99</v>
      </c>
      <c r="C11" s="9">
        <v>5851.04</v>
      </c>
      <c r="D11" s="9">
        <v>5945.31</v>
      </c>
      <c r="E11" s="9">
        <v>5985.54</v>
      </c>
      <c r="F11" s="9">
        <v>6283.8</v>
      </c>
      <c r="G11" s="7">
        <v>6167</v>
      </c>
      <c r="H11" s="9">
        <v>6320.6</v>
      </c>
      <c r="I11" s="9">
        <v>6401.6</v>
      </c>
      <c r="J11" s="9">
        <v>6796.2</v>
      </c>
      <c r="K11" s="9">
        <v>7518.3</v>
      </c>
      <c r="L11" s="9">
        <v>7855.7</v>
      </c>
      <c r="M11" s="9">
        <v>7658.6</v>
      </c>
      <c r="N11" s="9">
        <v>8023.2</v>
      </c>
      <c r="O11" s="9">
        <v>8081.1</v>
      </c>
      <c r="P11" s="9">
        <v>8188.5</v>
      </c>
      <c r="Q11" s="9">
        <v>8821.7000000000007</v>
      </c>
      <c r="R11" s="9">
        <v>9572.9</v>
      </c>
      <c r="S11" s="9">
        <v>9626.6</v>
      </c>
      <c r="T11" s="9">
        <v>9843.9</v>
      </c>
      <c r="U11" s="9">
        <v>10164.9</v>
      </c>
      <c r="V11" s="9">
        <v>10594.1</v>
      </c>
      <c r="W11" s="9">
        <v>11480.2</v>
      </c>
      <c r="X11" s="9">
        <v>11993.6</v>
      </c>
      <c r="Y11" s="9">
        <v>12381.1</v>
      </c>
      <c r="Z11" s="9">
        <v>12609.7</v>
      </c>
      <c r="AA11" s="9">
        <v>11602.6</v>
      </c>
      <c r="AB11" s="9">
        <v>12528.9</v>
      </c>
      <c r="AC11" s="9">
        <v>12390.7</v>
      </c>
      <c r="AD11" s="9">
        <v>13882.1</v>
      </c>
      <c r="AE11" s="9">
        <v>13723.8</v>
      </c>
    </row>
    <row r="12" spans="1:31" ht="11.35" customHeight="1" x14ac:dyDescent="0.45">
      <c r="A12" s="5" t="s">
        <v>44</v>
      </c>
      <c r="B12" s="8">
        <v>174.5</v>
      </c>
      <c r="C12" s="8">
        <v>80.03</v>
      </c>
      <c r="D12" s="8">
        <v>116.03</v>
      </c>
      <c r="E12" s="8">
        <v>313.88</v>
      </c>
      <c r="F12" s="8">
        <v>314.86</v>
      </c>
      <c r="G12" s="8">
        <v>401.54</v>
      </c>
      <c r="H12" s="8">
        <v>394.85</v>
      </c>
      <c r="I12" s="8">
        <v>413.01</v>
      </c>
      <c r="J12" s="8">
        <v>526.89</v>
      </c>
      <c r="K12" s="8">
        <v>633.47</v>
      </c>
      <c r="L12" s="8">
        <v>712.49</v>
      </c>
      <c r="M12" s="8">
        <v>762.67</v>
      </c>
      <c r="N12" s="8">
        <v>1036.04</v>
      </c>
      <c r="O12" s="8">
        <v>1221.72</v>
      </c>
      <c r="P12" s="8">
        <v>1062.72</v>
      </c>
      <c r="Q12" s="8">
        <v>1051.5899999999999</v>
      </c>
      <c r="R12" s="8">
        <v>1107.78</v>
      </c>
      <c r="S12" s="8">
        <v>1118.55</v>
      </c>
      <c r="T12" s="8">
        <v>1200.93</v>
      </c>
      <c r="U12" s="8">
        <v>1220.67</v>
      </c>
      <c r="V12" s="8">
        <v>1351.73</v>
      </c>
      <c r="W12" s="8">
        <v>1451.15</v>
      </c>
      <c r="X12" s="8">
        <v>1468.89</v>
      </c>
      <c r="Y12" s="8">
        <v>1470.45</v>
      </c>
      <c r="Z12" s="8">
        <v>1839.12</v>
      </c>
      <c r="AA12" s="8">
        <v>1859.09</v>
      </c>
      <c r="AB12" s="8">
        <v>1978.67</v>
      </c>
      <c r="AC12" s="8">
        <v>4095.1</v>
      </c>
      <c r="AD12" s="8">
        <v>3176.22</v>
      </c>
      <c r="AE12" s="8">
        <v>3097.75</v>
      </c>
    </row>
    <row r="13" spans="1:31" ht="11.35" customHeight="1" x14ac:dyDescent="0.45">
      <c r="A13" s="5" t="s">
        <v>45</v>
      </c>
      <c r="B13" s="9">
        <v>1205.44</v>
      </c>
      <c r="C13" s="9">
        <v>1297.33</v>
      </c>
      <c r="D13" s="9">
        <v>1252.1600000000001</v>
      </c>
      <c r="E13" s="9">
        <v>1299.1500000000001</v>
      </c>
      <c r="F13" s="9">
        <v>1426.74</v>
      </c>
      <c r="G13" s="9">
        <v>1511.42</v>
      </c>
      <c r="H13" s="9">
        <v>1762.01</v>
      </c>
      <c r="I13" s="9">
        <v>1979.81</v>
      </c>
      <c r="J13" s="9">
        <v>2068.61</v>
      </c>
      <c r="K13" s="9">
        <v>2335.42</v>
      </c>
      <c r="L13" s="9">
        <v>2708.41</v>
      </c>
      <c r="M13" s="9">
        <v>2950.22</v>
      </c>
      <c r="N13" s="9">
        <v>3198.7</v>
      </c>
      <c r="O13" s="9">
        <v>3643.79</v>
      </c>
      <c r="P13" s="9">
        <v>3427.58</v>
      </c>
      <c r="Q13" s="9">
        <v>3577.44</v>
      </c>
      <c r="R13" s="9">
        <v>3846.08</v>
      </c>
      <c r="S13" s="9">
        <v>3606.43</v>
      </c>
      <c r="T13" s="9">
        <v>3351.35</v>
      </c>
      <c r="U13" s="9">
        <v>3346.96</v>
      </c>
      <c r="V13" s="9">
        <v>3477.33</v>
      </c>
      <c r="W13" s="9">
        <v>3728.38</v>
      </c>
      <c r="X13" s="9">
        <v>3896.98</v>
      </c>
      <c r="Y13" s="9">
        <v>4129.1400000000003</v>
      </c>
      <c r="Z13" s="9">
        <v>4594.8599999999997</v>
      </c>
      <c r="AA13" s="9">
        <v>4148.0600000000004</v>
      </c>
      <c r="AB13" s="9">
        <v>4373.4399999999996</v>
      </c>
      <c r="AC13" s="9">
        <v>4076.53</v>
      </c>
      <c r="AD13" s="9">
        <v>4957.13</v>
      </c>
      <c r="AE13" s="9">
        <v>4641.24</v>
      </c>
    </row>
    <row r="14" spans="1:31" ht="11.35" customHeight="1" x14ac:dyDescent="0.45">
      <c r="A14" s="5" t="s">
        <v>46</v>
      </c>
      <c r="B14" s="8">
        <v>6099.43</v>
      </c>
      <c r="C14" s="8">
        <v>6709.1</v>
      </c>
      <c r="D14" s="8">
        <v>6994.9</v>
      </c>
      <c r="E14" s="8">
        <v>8321.48</v>
      </c>
      <c r="F14" s="8">
        <v>8821.01</v>
      </c>
      <c r="G14" s="8">
        <v>8604.94</v>
      </c>
      <c r="H14" s="8">
        <v>8865.7199999999993</v>
      </c>
      <c r="I14" s="8">
        <v>9488.2000000000007</v>
      </c>
      <c r="J14" s="8">
        <v>9294.17</v>
      </c>
      <c r="K14" s="8">
        <v>10097.34</v>
      </c>
      <c r="L14" s="8">
        <v>10474.780000000001</v>
      </c>
      <c r="M14" s="8">
        <v>10565.93</v>
      </c>
      <c r="N14" s="8">
        <v>11082.06</v>
      </c>
      <c r="O14" s="8">
        <v>10077.75</v>
      </c>
      <c r="P14" s="8">
        <v>9235.14</v>
      </c>
      <c r="Q14" s="8">
        <v>9768.48</v>
      </c>
      <c r="R14" s="8">
        <v>9956.58</v>
      </c>
      <c r="S14" s="8">
        <v>10095.620000000001</v>
      </c>
      <c r="T14" s="8">
        <v>10683.28</v>
      </c>
      <c r="U14" s="8">
        <v>10651.75</v>
      </c>
      <c r="V14" s="8">
        <v>10846.5</v>
      </c>
      <c r="W14" s="8">
        <v>11082.03</v>
      </c>
      <c r="X14" s="8">
        <v>10790.34</v>
      </c>
      <c r="Y14" s="8">
        <v>10815.22</v>
      </c>
      <c r="Z14" s="8">
        <v>10246.59</v>
      </c>
      <c r="AA14" s="8">
        <v>9891.2800000000007</v>
      </c>
      <c r="AB14" s="8">
        <v>9703.6200000000008</v>
      </c>
      <c r="AC14" s="8">
        <v>8771.4</v>
      </c>
      <c r="AD14" s="8">
        <v>7734.8</v>
      </c>
      <c r="AE14" s="8">
        <v>8210.75</v>
      </c>
    </row>
    <row r="15" spans="1:31" ht="11.35" customHeight="1" x14ac:dyDescent="0.45">
      <c r="A15" s="5" t="s">
        <v>47</v>
      </c>
      <c r="B15" s="9">
        <v>42078.93</v>
      </c>
      <c r="C15" s="9">
        <v>42324.71</v>
      </c>
      <c r="D15" s="9">
        <v>41499.660000000003</v>
      </c>
      <c r="E15" s="9">
        <v>41796.81</v>
      </c>
      <c r="F15" s="7">
        <v>46337</v>
      </c>
      <c r="G15" s="7">
        <v>50963</v>
      </c>
      <c r="H15" s="7">
        <v>56212</v>
      </c>
      <c r="I15" s="7">
        <v>57197</v>
      </c>
      <c r="J15" s="7">
        <v>61229</v>
      </c>
      <c r="K15" s="7">
        <v>60849</v>
      </c>
      <c r="L15" s="7">
        <v>60837</v>
      </c>
      <c r="M15" s="7">
        <v>62533</v>
      </c>
      <c r="N15" s="7">
        <v>62772</v>
      </c>
      <c r="O15" s="7">
        <v>64140</v>
      </c>
      <c r="P15" s="7">
        <v>66381</v>
      </c>
      <c r="Q15" s="7">
        <v>63845</v>
      </c>
      <c r="R15" s="7">
        <v>72185</v>
      </c>
      <c r="S15" s="7">
        <v>72621</v>
      </c>
      <c r="T15" s="7">
        <v>78210</v>
      </c>
      <c r="U15" s="7">
        <v>81776</v>
      </c>
      <c r="V15" s="7">
        <v>80837</v>
      </c>
      <c r="W15" s="7">
        <v>82463</v>
      </c>
      <c r="X15" s="7">
        <v>85260</v>
      </c>
      <c r="Y15" s="7">
        <v>84559</v>
      </c>
      <c r="Z15" s="7">
        <v>85723</v>
      </c>
      <c r="AA15" s="7">
        <v>82858</v>
      </c>
      <c r="AB15" s="7">
        <v>82001</v>
      </c>
      <c r="AC15" s="7">
        <v>73177</v>
      </c>
      <c r="AD15" s="7">
        <v>70791</v>
      </c>
      <c r="AE15" s="7">
        <v>75794</v>
      </c>
    </row>
    <row r="16" spans="1:31" ht="11.35" customHeight="1" x14ac:dyDescent="0.45">
      <c r="A16" s="5" t="s">
        <v>48</v>
      </c>
      <c r="B16" s="8">
        <v>25.61</v>
      </c>
      <c r="C16" s="8">
        <v>52.67</v>
      </c>
      <c r="D16" s="8">
        <v>68.180000000000007</v>
      </c>
      <c r="E16" s="8">
        <v>95.41</v>
      </c>
      <c r="F16" s="8">
        <v>90.67</v>
      </c>
      <c r="G16" s="8">
        <v>104.39</v>
      </c>
      <c r="H16" s="8">
        <v>147.35</v>
      </c>
      <c r="I16" s="8">
        <v>154.59</v>
      </c>
      <c r="J16" s="8">
        <v>164.53</v>
      </c>
      <c r="K16" s="8">
        <v>203.87</v>
      </c>
      <c r="L16" s="8">
        <v>255.72</v>
      </c>
      <c r="M16" s="8">
        <v>295.95</v>
      </c>
      <c r="N16" s="8">
        <v>362.05</v>
      </c>
      <c r="O16" s="8">
        <v>396.75</v>
      </c>
      <c r="P16" s="8">
        <v>443.87</v>
      </c>
      <c r="Q16" s="8">
        <v>485.49</v>
      </c>
      <c r="R16" s="8">
        <v>500.55</v>
      </c>
      <c r="S16" s="8">
        <v>560.94000000000005</v>
      </c>
      <c r="T16" s="8">
        <v>549.41999999999996</v>
      </c>
      <c r="U16" s="8">
        <v>590.22</v>
      </c>
      <c r="V16" s="8">
        <v>629.38</v>
      </c>
      <c r="W16" s="8">
        <v>719.64</v>
      </c>
      <c r="X16" s="8">
        <v>763.88</v>
      </c>
      <c r="Y16" s="8">
        <v>781.77</v>
      </c>
      <c r="Z16" s="8">
        <v>974.59</v>
      </c>
      <c r="AA16" s="8">
        <v>747.47</v>
      </c>
      <c r="AB16" s="8">
        <v>818.88</v>
      </c>
      <c r="AC16" s="8">
        <v>923.91</v>
      </c>
      <c r="AD16" s="8">
        <v>995.14</v>
      </c>
      <c r="AE16" s="8">
        <v>1037.78</v>
      </c>
    </row>
    <row r="17" spans="1:31" ht="11.35" customHeight="1" x14ac:dyDescent="0.45">
      <c r="A17" s="5" t="s">
        <v>49</v>
      </c>
      <c r="B17" s="9">
        <v>1565.12</v>
      </c>
      <c r="C17" s="9">
        <v>1811.88</v>
      </c>
      <c r="D17" s="9">
        <v>2150.62</v>
      </c>
      <c r="E17" s="9">
        <v>2360.89</v>
      </c>
      <c r="F17" s="9">
        <v>2705.73</v>
      </c>
      <c r="G17" s="9">
        <v>2976.16</v>
      </c>
      <c r="H17" s="9">
        <v>2779.55</v>
      </c>
      <c r="I17" s="9">
        <v>3091.19</v>
      </c>
      <c r="J17" s="9">
        <v>3300.24</v>
      </c>
      <c r="K17" s="9">
        <v>3835.4</v>
      </c>
      <c r="L17" s="9">
        <v>4219.42</v>
      </c>
      <c r="M17" s="9">
        <v>4470.1000000000004</v>
      </c>
      <c r="N17" s="9">
        <v>4822.63</v>
      </c>
      <c r="O17" s="9">
        <v>4314.1400000000003</v>
      </c>
      <c r="P17" s="9">
        <v>3847.45</v>
      </c>
      <c r="Q17" s="9">
        <v>4103.67</v>
      </c>
      <c r="R17" s="9">
        <v>4208.47</v>
      </c>
      <c r="S17" s="9">
        <v>4173.4399999999996</v>
      </c>
      <c r="T17" s="9">
        <v>4444.87</v>
      </c>
      <c r="U17" s="9">
        <v>4683.91</v>
      </c>
      <c r="V17" s="9">
        <v>4977.25</v>
      </c>
      <c r="W17" s="9">
        <v>5117.49</v>
      </c>
      <c r="X17" s="9">
        <v>5232.37</v>
      </c>
      <c r="Y17" s="9">
        <v>5119.3</v>
      </c>
      <c r="Z17" s="9">
        <v>5044.97</v>
      </c>
      <c r="AA17" s="9">
        <v>4505.41</v>
      </c>
      <c r="AB17" s="9">
        <v>4984.03</v>
      </c>
      <c r="AC17" s="9">
        <v>4427.8999999999996</v>
      </c>
      <c r="AD17" s="9">
        <v>4931.8</v>
      </c>
      <c r="AE17" s="9">
        <v>5501.53</v>
      </c>
    </row>
    <row r="18" spans="1:31" ht="11.35" customHeight="1" x14ac:dyDescent="0.45">
      <c r="A18" s="5" t="s">
        <v>50</v>
      </c>
      <c r="B18" s="8">
        <v>3291.79</v>
      </c>
      <c r="C18" s="8">
        <v>3662.37</v>
      </c>
      <c r="D18" s="8">
        <v>3740.65</v>
      </c>
      <c r="E18" s="8">
        <v>3635.91</v>
      </c>
      <c r="F18" s="8">
        <v>3588.88</v>
      </c>
      <c r="G18" s="8">
        <v>3190.58</v>
      </c>
      <c r="H18" s="6">
        <v>3360</v>
      </c>
      <c r="I18" s="6">
        <v>3713</v>
      </c>
      <c r="J18" s="6">
        <v>3856</v>
      </c>
      <c r="K18" s="6">
        <v>4116</v>
      </c>
      <c r="L18" s="6">
        <v>4208</v>
      </c>
      <c r="M18" s="6">
        <v>4433</v>
      </c>
      <c r="N18" s="6">
        <v>4837</v>
      </c>
      <c r="O18" s="6">
        <v>4972</v>
      </c>
      <c r="P18" s="6">
        <v>4944</v>
      </c>
      <c r="Q18" s="6">
        <v>5978</v>
      </c>
      <c r="R18" s="6">
        <v>6017</v>
      </c>
      <c r="S18" s="6">
        <v>6938</v>
      </c>
      <c r="T18" s="6">
        <v>7240</v>
      </c>
      <c r="U18" s="6">
        <v>7270</v>
      </c>
      <c r="V18" s="6">
        <v>7401</v>
      </c>
      <c r="W18" s="6">
        <v>7281</v>
      </c>
      <c r="X18" s="6">
        <v>7759</v>
      </c>
      <c r="Y18" s="6">
        <v>7402</v>
      </c>
      <c r="Z18" s="6">
        <v>7696</v>
      </c>
      <c r="AA18" s="6">
        <v>6818</v>
      </c>
      <c r="AB18" s="6">
        <v>7701</v>
      </c>
      <c r="AC18" s="6">
        <v>11635</v>
      </c>
      <c r="AD18" s="6">
        <v>9257</v>
      </c>
      <c r="AE18" s="6">
        <v>8910</v>
      </c>
    </row>
    <row r="19" spans="1:31" ht="11.35" customHeight="1" x14ac:dyDescent="0.45">
      <c r="A19" s="5" t="s">
        <v>51</v>
      </c>
      <c r="B19" s="9">
        <v>9976.01</v>
      </c>
      <c r="C19" s="9">
        <v>10648.87</v>
      </c>
      <c r="D19" s="9">
        <v>10655.98</v>
      </c>
      <c r="E19" s="9">
        <v>12242.27</v>
      </c>
      <c r="F19" s="7">
        <v>13412</v>
      </c>
      <c r="G19" s="7">
        <v>13791</v>
      </c>
      <c r="H19" s="7">
        <v>14159</v>
      </c>
      <c r="I19" s="7">
        <v>15091</v>
      </c>
      <c r="J19" s="7">
        <v>16025</v>
      </c>
      <c r="K19" s="7">
        <v>16810</v>
      </c>
      <c r="L19" s="7">
        <v>17620</v>
      </c>
      <c r="M19" s="7">
        <v>18371</v>
      </c>
      <c r="N19" s="7">
        <v>19076</v>
      </c>
      <c r="O19" s="7">
        <v>18179</v>
      </c>
      <c r="P19" s="7">
        <v>17335</v>
      </c>
      <c r="Q19" s="7">
        <v>17672</v>
      </c>
      <c r="R19" s="7">
        <v>16866</v>
      </c>
      <c r="S19" s="7">
        <v>16325</v>
      </c>
      <c r="T19" s="7">
        <v>19611</v>
      </c>
      <c r="U19" s="7">
        <v>19374</v>
      </c>
      <c r="V19" s="7">
        <v>20868</v>
      </c>
      <c r="W19" s="7">
        <v>20840</v>
      </c>
      <c r="X19" s="7">
        <v>21434</v>
      </c>
      <c r="Y19" s="7">
        <v>22158</v>
      </c>
      <c r="Z19" s="7">
        <v>22117</v>
      </c>
      <c r="AA19" s="7">
        <v>19697</v>
      </c>
      <c r="AB19" s="7">
        <v>21310</v>
      </c>
      <c r="AC19" s="7">
        <v>20665</v>
      </c>
      <c r="AD19" s="7">
        <v>22993</v>
      </c>
      <c r="AE19" s="7">
        <v>25643</v>
      </c>
    </row>
    <row r="20" spans="1:31" ht="11.35" customHeight="1" x14ac:dyDescent="0.45">
      <c r="A20" s="5" t="s">
        <v>52</v>
      </c>
      <c r="B20" s="8">
        <v>30596.99</v>
      </c>
      <c r="C20" s="8">
        <v>32258.39</v>
      </c>
      <c r="D20" s="8">
        <v>31325.75</v>
      </c>
      <c r="E20" s="8">
        <v>32738.17</v>
      </c>
      <c r="F20" s="6">
        <v>33117</v>
      </c>
      <c r="G20" s="6">
        <v>31919</v>
      </c>
      <c r="H20" s="6">
        <v>30032</v>
      </c>
      <c r="I20" s="6">
        <v>32496</v>
      </c>
      <c r="J20" s="6">
        <v>32115</v>
      </c>
      <c r="K20" s="6">
        <v>35229</v>
      </c>
      <c r="L20" s="6">
        <v>35221</v>
      </c>
      <c r="M20" s="6">
        <v>35950</v>
      </c>
      <c r="N20" s="6">
        <v>36205</v>
      </c>
      <c r="O20" s="6">
        <v>36455</v>
      </c>
      <c r="P20" s="6">
        <v>35894</v>
      </c>
      <c r="Q20" s="6">
        <v>37279</v>
      </c>
      <c r="R20" s="6">
        <v>39144</v>
      </c>
      <c r="S20" s="6">
        <v>40444</v>
      </c>
      <c r="T20" s="6">
        <v>42404</v>
      </c>
      <c r="U20" s="6">
        <v>43225</v>
      </c>
      <c r="V20" s="6">
        <v>47101</v>
      </c>
      <c r="W20" s="6">
        <v>49803</v>
      </c>
      <c r="X20" s="6">
        <v>52775</v>
      </c>
      <c r="Y20" s="6">
        <v>55740</v>
      </c>
      <c r="Z20" s="6">
        <v>56162</v>
      </c>
      <c r="AA20" s="6">
        <v>49304</v>
      </c>
      <c r="AB20" s="6">
        <v>54099</v>
      </c>
      <c r="AC20" s="6">
        <v>53798</v>
      </c>
      <c r="AD20" s="6">
        <v>51251</v>
      </c>
      <c r="AE20" s="6">
        <v>54315</v>
      </c>
    </row>
    <row r="21" spans="1:31" ht="11.35" customHeight="1" x14ac:dyDescent="0.45">
      <c r="A21" s="5" t="s">
        <v>53</v>
      </c>
      <c r="B21" s="9">
        <v>551.21</v>
      </c>
      <c r="C21" s="9">
        <v>591.23</v>
      </c>
      <c r="D21" s="9">
        <v>576.04999999999995</v>
      </c>
      <c r="E21" s="9">
        <v>653.85</v>
      </c>
      <c r="F21" s="9">
        <v>660.94</v>
      </c>
      <c r="G21" s="9">
        <v>799.81</v>
      </c>
      <c r="H21" s="9">
        <v>910.87</v>
      </c>
      <c r="I21" s="9">
        <v>1158.92</v>
      </c>
      <c r="J21" s="9">
        <v>1266.6600000000001</v>
      </c>
      <c r="K21" s="9">
        <v>1334.76</v>
      </c>
      <c r="L21" s="9">
        <v>1396.68</v>
      </c>
      <c r="M21" s="9">
        <v>1610.08</v>
      </c>
      <c r="N21" s="9">
        <v>1785.43</v>
      </c>
      <c r="O21" s="9">
        <v>1823.36</v>
      </c>
      <c r="P21" s="9">
        <v>1694.91</v>
      </c>
      <c r="Q21" s="9">
        <v>1751.65</v>
      </c>
      <c r="R21" s="9">
        <v>1557.14</v>
      </c>
      <c r="S21" s="9">
        <v>1453.06</v>
      </c>
      <c r="T21" s="9">
        <v>1583.17</v>
      </c>
      <c r="U21" s="9">
        <v>1746.44</v>
      </c>
      <c r="V21" s="9">
        <v>1910.08</v>
      </c>
      <c r="W21" s="9">
        <v>2043.64</v>
      </c>
      <c r="X21" s="9">
        <v>2146.73</v>
      </c>
      <c r="Y21" s="9">
        <v>2295.46</v>
      </c>
      <c r="Z21" s="9">
        <v>2366.11</v>
      </c>
      <c r="AA21" s="9">
        <v>2057.66</v>
      </c>
      <c r="AB21" s="9">
        <v>2257.5700000000002</v>
      </c>
      <c r="AC21" s="9">
        <v>2298.02</v>
      </c>
      <c r="AD21" s="9">
        <v>2612.86</v>
      </c>
      <c r="AE21" s="9">
        <v>2885.56</v>
      </c>
    </row>
    <row r="22" spans="1:31" ht="11.35" customHeight="1" x14ac:dyDescent="0.45">
      <c r="A22" s="5" t="s">
        <v>54</v>
      </c>
      <c r="B22" s="8">
        <v>31015.51</v>
      </c>
      <c r="C22" s="8">
        <v>34631.21</v>
      </c>
      <c r="D22" s="8">
        <v>36493.31</v>
      </c>
      <c r="E22" s="8">
        <v>36619.519999999997</v>
      </c>
      <c r="F22" s="6">
        <v>39304</v>
      </c>
      <c r="G22" s="6">
        <v>37702</v>
      </c>
      <c r="H22" s="6">
        <v>39193</v>
      </c>
      <c r="I22" s="6">
        <v>39393</v>
      </c>
      <c r="J22" s="6">
        <v>41551</v>
      </c>
      <c r="K22" s="6">
        <v>41072</v>
      </c>
      <c r="L22" s="6">
        <v>43140</v>
      </c>
      <c r="M22" s="6">
        <v>44682</v>
      </c>
      <c r="N22" s="6">
        <v>44242</v>
      </c>
      <c r="O22" s="6">
        <v>42749</v>
      </c>
      <c r="P22" s="6">
        <v>47335</v>
      </c>
      <c r="Q22" s="6">
        <v>47260</v>
      </c>
      <c r="R22" s="6">
        <v>52471</v>
      </c>
      <c r="S22" s="6">
        <v>57791</v>
      </c>
      <c r="T22" s="6">
        <v>58111</v>
      </c>
      <c r="U22" s="6">
        <v>62226</v>
      </c>
      <c r="V22" s="6">
        <v>59533</v>
      </c>
      <c r="W22" s="6">
        <v>61842</v>
      </c>
      <c r="X22" s="6">
        <v>59977</v>
      </c>
      <c r="Y22" s="6">
        <v>60159</v>
      </c>
      <c r="Z22" s="6">
        <v>62231</v>
      </c>
      <c r="AA22" s="6">
        <v>54341</v>
      </c>
      <c r="AB22" s="6">
        <v>56022</v>
      </c>
      <c r="AC22" s="6">
        <v>45400</v>
      </c>
      <c r="AD22" s="6">
        <v>54279</v>
      </c>
      <c r="AE22" s="6">
        <v>60388</v>
      </c>
    </row>
    <row r="23" spans="1:31" ht="11.35" customHeight="1" x14ac:dyDescent="0.45">
      <c r="A23" s="5" t="s">
        <v>55</v>
      </c>
      <c r="B23" s="9">
        <v>238.51</v>
      </c>
      <c r="C23" s="9">
        <v>240.74</v>
      </c>
      <c r="D23" s="9">
        <v>230.58</v>
      </c>
      <c r="E23" s="9">
        <v>252.94</v>
      </c>
      <c r="F23" s="9">
        <v>266.73</v>
      </c>
      <c r="G23" s="9">
        <v>311.89</v>
      </c>
      <c r="H23" s="9">
        <v>364.34</v>
      </c>
      <c r="I23" s="9">
        <v>374.45</v>
      </c>
      <c r="J23" s="9">
        <v>492.25</v>
      </c>
      <c r="K23" s="9">
        <v>553.71</v>
      </c>
      <c r="L23" s="9">
        <v>548.61</v>
      </c>
      <c r="M23" s="9">
        <v>552.79999999999995</v>
      </c>
      <c r="N23" s="9">
        <v>603.22</v>
      </c>
      <c r="O23" s="9">
        <v>625.78</v>
      </c>
      <c r="P23" s="9">
        <v>572.57000000000005</v>
      </c>
      <c r="Q23" s="9">
        <v>587.99</v>
      </c>
      <c r="R23" s="9">
        <v>600.13</v>
      </c>
      <c r="S23" s="9">
        <v>558.19000000000005</v>
      </c>
      <c r="T23" s="9">
        <v>546.77</v>
      </c>
      <c r="U23" s="9">
        <v>591.97</v>
      </c>
      <c r="V23" s="9">
        <v>603.29</v>
      </c>
      <c r="W23" s="9">
        <v>614.33000000000004</v>
      </c>
      <c r="X23" s="9">
        <v>662.26</v>
      </c>
      <c r="Y23" s="9">
        <v>675.3</v>
      </c>
      <c r="Z23" s="9">
        <v>645.07000000000005</v>
      </c>
      <c r="AA23" s="9">
        <v>582.08000000000004</v>
      </c>
      <c r="AB23" s="9">
        <v>642.4</v>
      </c>
      <c r="AC23" s="9">
        <v>632.74</v>
      </c>
      <c r="AD23" s="9">
        <v>670.55</v>
      </c>
      <c r="AE23" s="7">
        <v>718</v>
      </c>
    </row>
    <row r="24" spans="1:31" ht="11.35" customHeight="1" x14ac:dyDescent="0.45">
      <c r="A24" s="5" t="s">
        <v>56</v>
      </c>
      <c r="B24" s="8">
        <v>40.74</v>
      </c>
      <c r="C24" s="8">
        <v>70.89</v>
      </c>
      <c r="D24" s="8">
        <v>113.82</v>
      </c>
      <c r="E24" s="8">
        <v>178.63</v>
      </c>
      <c r="F24" s="8">
        <v>160.34</v>
      </c>
      <c r="G24" s="8">
        <v>193.6</v>
      </c>
      <c r="H24" s="8">
        <v>191.62</v>
      </c>
      <c r="I24" s="8">
        <v>217.62</v>
      </c>
      <c r="J24" s="8">
        <v>238.57</v>
      </c>
      <c r="K24" s="8">
        <v>287.45</v>
      </c>
      <c r="L24" s="8">
        <v>346.45</v>
      </c>
      <c r="M24" s="8">
        <v>385.25</v>
      </c>
      <c r="N24" s="8">
        <v>464.18</v>
      </c>
      <c r="O24" s="8">
        <v>506.87</v>
      </c>
      <c r="P24" s="8">
        <v>498.74</v>
      </c>
      <c r="Q24" s="8">
        <v>530.64</v>
      </c>
      <c r="R24" s="8">
        <v>606.15</v>
      </c>
      <c r="S24" s="8">
        <v>660.87</v>
      </c>
      <c r="T24" s="8">
        <v>723.62</v>
      </c>
      <c r="U24" s="8">
        <v>797.66</v>
      </c>
      <c r="V24" s="8">
        <v>863.72</v>
      </c>
      <c r="W24" s="8">
        <v>918.24</v>
      </c>
      <c r="X24" s="8">
        <v>947.67</v>
      </c>
      <c r="Y24" s="8">
        <v>991.46</v>
      </c>
      <c r="Z24" s="8">
        <v>947.59</v>
      </c>
      <c r="AA24" s="8">
        <v>967.23</v>
      </c>
      <c r="AB24" s="8">
        <v>966.74</v>
      </c>
      <c r="AC24" s="8">
        <v>868.01</v>
      </c>
      <c r="AD24" s="8">
        <v>949.89</v>
      </c>
      <c r="AE24" s="8">
        <v>1008.96</v>
      </c>
    </row>
    <row r="25" spans="1:31" ht="11.35" customHeight="1" x14ac:dyDescent="0.45">
      <c r="A25" s="5" t="s">
        <v>57</v>
      </c>
      <c r="B25" s="9">
        <v>95.99</v>
      </c>
      <c r="C25" s="9">
        <v>123.89</v>
      </c>
      <c r="D25" s="9">
        <v>191.43</v>
      </c>
      <c r="E25" s="9">
        <v>255.08</v>
      </c>
      <c r="F25" s="9">
        <v>302.67</v>
      </c>
      <c r="G25" s="9">
        <v>305.77</v>
      </c>
      <c r="H25" s="9">
        <v>349.94</v>
      </c>
      <c r="I25" s="9">
        <v>425.93</v>
      </c>
      <c r="J25" s="9">
        <v>461.84</v>
      </c>
      <c r="K25" s="9">
        <v>491.98</v>
      </c>
      <c r="L25" s="9">
        <v>481.52</v>
      </c>
      <c r="M25" s="9">
        <v>433.42</v>
      </c>
      <c r="N25" s="9">
        <v>507.56</v>
      </c>
      <c r="O25" s="9">
        <v>533.52</v>
      </c>
      <c r="P25" s="9">
        <v>542.78</v>
      </c>
      <c r="Q25" s="9">
        <v>512.22</v>
      </c>
      <c r="R25" s="9">
        <v>527.67999999999995</v>
      </c>
      <c r="S25" s="9">
        <v>554.19000000000005</v>
      </c>
      <c r="T25" s="9">
        <v>603.53</v>
      </c>
      <c r="U25" s="9">
        <v>657.39</v>
      </c>
      <c r="V25" s="9">
        <v>708.87</v>
      </c>
      <c r="W25" s="9">
        <v>776.32</v>
      </c>
      <c r="X25" s="9">
        <v>828.3</v>
      </c>
      <c r="Y25" s="9">
        <v>931.38</v>
      </c>
      <c r="Z25" s="9">
        <v>1001.72</v>
      </c>
      <c r="AA25" s="9">
        <v>1052.68</v>
      </c>
      <c r="AB25" s="9">
        <v>1127.5</v>
      </c>
      <c r="AC25" s="9">
        <v>1147.31</v>
      </c>
      <c r="AD25" s="9">
        <v>1242.47</v>
      </c>
      <c r="AE25" s="9">
        <v>1404.56</v>
      </c>
    </row>
    <row r="26" spans="1:31" ht="11.35" customHeight="1" x14ac:dyDescent="0.45">
      <c r="A26" s="5" t="s">
        <v>58</v>
      </c>
      <c r="B26" s="8">
        <v>467.97</v>
      </c>
      <c r="C26" s="8">
        <v>472.93</v>
      </c>
      <c r="D26" s="8">
        <v>483.5</v>
      </c>
      <c r="E26" s="8">
        <v>506.34</v>
      </c>
      <c r="F26" s="8">
        <v>557.27</v>
      </c>
      <c r="G26" s="8">
        <v>610.19000000000005</v>
      </c>
      <c r="H26" s="8">
        <v>636.04</v>
      </c>
      <c r="I26" s="8">
        <v>663.64</v>
      </c>
      <c r="J26" s="8">
        <v>718.02</v>
      </c>
      <c r="K26" s="8">
        <v>837.82</v>
      </c>
      <c r="L26" s="8">
        <v>891.49</v>
      </c>
      <c r="M26" s="8">
        <v>890.89</v>
      </c>
      <c r="N26" s="8">
        <v>952.71</v>
      </c>
      <c r="O26" s="8">
        <v>985.22</v>
      </c>
      <c r="P26" s="8">
        <v>930.47</v>
      </c>
      <c r="Q26" s="8">
        <v>957.48</v>
      </c>
      <c r="R26" s="8">
        <v>1017.65</v>
      </c>
      <c r="S26" s="8">
        <v>1038.6099999999999</v>
      </c>
      <c r="T26" s="8">
        <v>1007.93</v>
      </c>
      <c r="U26" s="8">
        <v>979.5</v>
      </c>
      <c r="V26" s="8">
        <v>954.44</v>
      </c>
      <c r="W26" s="8">
        <v>933.13</v>
      </c>
      <c r="X26" s="8">
        <v>952.59</v>
      </c>
      <c r="Y26" s="8">
        <v>1016.32</v>
      </c>
      <c r="Z26" s="8">
        <v>1087.4000000000001</v>
      </c>
      <c r="AA26" s="8">
        <v>890.4</v>
      </c>
      <c r="AB26" s="8">
        <v>1056.97</v>
      </c>
      <c r="AC26" s="8">
        <v>950.25</v>
      </c>
      <c r="AD26" s="8">
        <v>1016.39</v>
      </c>
      <c r="AE26" s="8">
        <v>1018.32</v>
      </c>
    </row>
    <row r="27" spans="1:31" ht="11.35" customHeight="1" x14ac:dyDescent="0.45">
      <c r="A27" s="5" t="s">
        <v>59</v>
      </c>
      <c r="B27" s="9">
        <v>905.53</v>
      </c>
      <c r="C27" s="9">
        <v>968.71</v>
      </c>
      <c r="D27" s="9">
        <v>1101.02</v>
      </c>
      <c r="E27" s="9">
        <v>1401.97</v>
      </c>
      <c r="F27" s="9">
        <v>1500.62</v>
      </c>
      <c r="G27" s="9">
        <v>1507.97</v>
      </c>
      <c r="H27" s="9">
        <v>1625.29</v>
      </c>
      <c r="I27" s="9">
        <v>1904.57</v>
      </c>
      <c r="J27" s="9">
        <v>1951.32</v>
      </c>
      <c r="K27" s="9">
        <v>2345.77</v>
      </c>
      <c r="L27" s="9">
        <v>2477.3200000000002</v>
      </c>
      <c r="M27" s="9">
        <v>2614.19</v>
      </c>
      <c r="N27" s="9">
        <v>2828.63</v>
      </c>
      <c r="O27" s="9">
        <v>2907.43</v>
      </c>
      <c r="P27" s="9">
        <v>2476.0500000000002</v>
      </c>
      <c r="Q27" s="9">
        <v>2631.91</v>
      </c>
      <c r="R27" s="9">
        <v>2600.0500000000002</v>
      </c>
      <c r="S27" s="9">
        <v>2533.2199999999998</v>
      </c>
      <c r="T27" s="9">
        <v>2489.64</v>
      </c>
      <c r="U27" s="9">
        <v>2557.84</v>
      </c>
      <c r="V27" s="9">
        <v>2787.77</v>
      </c>
      <c r="W27" s="9">
        <v>2946.54</v>
      </c>
      <c r="X27" s="9">
        <v>3102.59</v>
      </c>
      <c r="Y27" s="9">
        <v>3161.46</v>
      </c>
      <c r="Z27" s="9">
        <v>3366.5</v>
      </c>
      <c r="AA27" s="9">
        <v>3031.73</v>
      </c>
      <c r="AB27" s="9">
        <v>3152.1</v>
      </c>
      <c r="AC27" s="9">
        <v>3167.18</v>
      </c>
      <c r="AD27" s="9">
        <v>4299.24</v>
      </c>
      <c r="AE27" s="9">
        <v>4051.51</v>
      </c>
    </row>
    <row r="28" spans="1:31" ht="11.35" customHeight="1" x14ac:dyDescent="0.45">
      <c r="A28" s="5" t="s">
        <v>60</v>
      </c>
      <c r="B28" s="8">
        <v>87.6</v>
      </c>
      <c r="C28" s="8">
        <v>88.41</v>
      </c>
      <c r="D28" s="8">
        <v>112.86</v>
      </c>
      <c r="E28" s="8">
        <v>133.57</v>
      </c>
      <c r="F28" s="8">
        <v>148.63999999999999</v>
      </c>
      <c r="G28" s="8">
        <v>155.38999999999999</v>
      </c>
      <c r="H28" s="8">
        <v>158.1</v>
      </c>
      <c r="I28" s="8">
        <v>150.97999999999999</v>
      </c>
      <c r="J28" s="8">
        <v>150.84</v>
      </c>
      <c r="K28" s="8">
        <v>137.88999999999999</v>
      </c>
      <c r="L28" s="8">
        <v>157.79</v>
      </c>
      <c r="M28" s="8">
        <v>171.64</v>
      </c>
      <c r="N28" s="8">
        <v>203.26</v>
      </c>
      <c r="O28" s="8">
        <v>199.88</v>
      </c>
      <c r="P28" s="8">
        <v>193.94</v>
      </c>
      <c r="Q28" s="8">
        <v>190.62</v>
      </c>
      <c r="R28" s="8">
        <v>211.27</v>
      </c>
      <c r="S28" s="8">
        <v>205.4</v>
      </c>
      <c r="T28" s="8">
        <v>204.84</v>
      </c>
      <c r="U28" s="8">
        <v>240.65</v>
      </c>
      <c r="V28" s="8">
        <v>266.33</v>
      </c>
      <c r="W28" s="8">
        <v>278.92</v>
      </c>
      <c r="X28" s="8">
        <v>303.52999999999997</v>
      </c>
      <c r="Y28" s="8">
        <v>318.73</v>
      </c>
      <c r="Z28" s="8">
        <v>347.82</v>
      </c>
      <c r="AA28" s="8">
        <v>295.01</v>
      </c>
      <c r="AB28" s="8">
        <v>276.58</v>
      </c>
      <c r="AC28" s="8">
        <v>287.35000000000002</v>
      </c>
      <c r="AD28" s="8">
        <v>311.52</v>
      </c>
      <c r="AE28" s="8">
        <v>312.5</v>
      </c>
    </row>
    <row r="29" spans="1:31" ht="11.35" customHeight="1" x14ac:dyDescent="0.45">
      <c r="A29" s="5" t="s">
        <v>61</v>
      </c>
      <c r="B29" s="9">
        <v>11183.84</v>
      </c>
      <c r="C29" s="9">
        <v>12138.39</v>
      </c>
      <c r="D29" s="9">
        <v>12274.48</v>
      </c>
      <c r="E29" s="9">
        <v>13190.5</v>
      </c>
      <c r="F29" s="7">
        <v>14633</v>
      </c>
      <c r="G29" s="7">
        <v>15657</v>
      </c>
      <c r="H29" s="7">
        <v>17128</v>
      </c>
      <c r="I29" s="7">
        <v>17186</v>
      </c>
      <c r="J29" s="7">
        <v>18030</v>
      </c>
      <c r="K29" s="7">
        <v>19334</v>
      </c>
      <c r="L29" s="7">
        <v>20724</v>
      </c>
      <c r="M29" s="7">
        <v>22328</v>
      </c>
      <c r="N29" s="7">
        <v>22236</v>
      </c>
      <c r="O29" s="7">
        <v>24453</v>
      </c>
      <c r="P29" s="7">
        <v>23916</v>
      </c>
      <c r="Q29" s="7">
        <v>24622</v>
      </c>
      <c r="R29" s="7">
        <v>24513</v>
      </c>
      <c r="S29" s="7">
        <v>23519</v>
      </c>
      <c r="T29" s="7">
        <v>24093</v>
      </c>
      <c r="U29" s="7">
        <v>24819</v>
      </c>
      <c r="V29" s="7">
        <v>25555</v>
      </c>
      <c r="W29" s="7">
        <v>26485</v>
      </c>
      <c r="X29" s="7">
        <v>27315</v>
      </c>
      <c r="Y29" s="7">
        <v>28564</v>
      </c>
      <c r="Z29" s="7">
        <v>29950</v>
      </c>
      <c r="AA29" s="7">
        <v>29119</v>
      </c>
      <c r="AB29" s="7">
        <v>30602</v>
      </c>
      <c r="AC29" s="7">
        <v>28850</v>
      </c>
      <c r="AD29" s="7">
        <v>30183</v>
      </c>
      <c r="AE29" s="7">
        <v>33417</v>
      </c>
    </row>
    <row r="30" spans="1:31" ht="11.35" customHeight="1" x14ac:dyDescent="0.45">
      <c r="A30" s="5" t="s">
        <v>62</v>
      </c>
      <c r="B30" s="8">
        <v>3979.01</v>
      </c>
      <c r="C30" s="8">
        <v>4055.87</v>
      </c>
      <c r="D30" s="8">
        <v>4422.95</v>
      </c>
      <c r="E30" s="8">
        <v>4489.53</v>
      </c>
      <c r="F30" s="8">
        <v>4711.28</v>
      </c>
      <c r="G30" s="8">
        <v>5178.45</v>
      </c>
      <c r="H30" s="8">
        <v>5686.76</v>
      </c>
      <c r="I30" s="8">
        <v>5980.4</v>
      </c>
      <c r="J30" s="8">
        <v>6318.45</v>
      </c>
      <c r="K30" s="8">
        <v>6459.79</v>
      </c>
      <c r="L30" s="8">
        <v>6535.57</v>
      </c>
      <c r="M30" s="8">
        <v>6551.2</v>
      </c>
      <c r="N30" s="8">
        <v>6933.4</v>
      </c>
      <c r="O30" s="8">
        <v>6995.98</v>
      </c>
      <c r="P30" s="8">
        <v>6873.5</v>
      </c>
      <c r="Q30" s="8">
        <v>7067.04</v>
      </c>
      <c r="R30" s="8">
        <v>7727.82</v>
      </c>
      <c r="S30" s="8">
        <v>7931.18</v>
      </c>
      <c r="T30" s="8">
        <v>8229.3700000000008</v>
      </c>
      <c r="U30" s="8">
        <v>8646.0499999999993</v>
      </c>
      <c r="V30" s="8">
        <v>9035.19</v>
      </c>
      <c r="W30" s="8">
        <v>9411.25</v>
      </c>
      <c r="X30" s="8">
        <v>9699.4500000000007</v>
      </c>
      <c r="Y30" s="8">
        <v>9570.7800000000007</v>
      </c>
      <c r="Z30" s="8">
        <v>9683.84</v>
      </c>
      <c r="AA30" s="8">
        <v>8812.41</v>
      </c>
      <c r="AB30" s="8">
        <v>9777.68</v>
      </c>
      <c r="AC30" s="8">
        <v>8520.94</v>
      </c>
      <c r="AD30" s="8">
        <v>9533.2800000000007</v>
      </c>
      <c r="AE30" s="8">
        <v>9572.98</v>
      </c>
    </row>
    <row r="31" spans="1:31" ht="11.35" customHeight="1" x14ac:dyDescent="0.45">
      <c r="A31" s="5" t="s">
        <v>63</v>
      </c>
      <c r="B31" s="9">
        <v>1937.23</v>
      </c>
      <c r="C31" s="9">
        <v>2353.6799999999998</v>
      </c>
      <c r="D31" s="9">
        <v>2488.7600000000002</v>
      </c>
      <c r="E31" s="9">
        <v>2914.59</v>
      </c>
      <c r="F31" s="9">
        <v>3353.6</v>
      </c>
      <c r="G31" s="9">
        <v>3995.06</v>
      </c>
      <c r="H31" s="9">
        <v>4596.28</v>
      </c>
      <c r="I31" s="9">
        <v>5170.84</v>
      </c>
      <c r="J31" s="9">
        <v>4817.4799999999996</v>
      </c>
      <c r="K31" s="9">
        <v>5634.22</v>
      </c>
      <c r="L31" s="9">
        <v>6605.77</v>
      </c>
      <c r="M31" s="9">
        <v>7309.99</v>
      </c>
      <c r="N31" s="9">
        <v>8614.58</v>
      </c>
      <c r="O31" s="9">
        <v>10215.83</v>
      </c>
      <c r="P31" s="9">
        <v>8448.56</v>
      </c>
      <c r="Q31" s="9">
        <v>9831.0300000000007</v>
      </c>
      <c r="R31" s="9">
        <v>10002.18</v>
      </c>
      <c r="S31" s="9">
        <v>10055.44</v>
      </c>
      <c r="T31" s="9">
        <v>9503.2800000000007</v>
      </c>
      <c r="U31" s="9">
        <v>10562.1</v>
      </c>
      <c r="V31" s="9">
        <v>11401.74</v>
      </c>
      <c r="W31" s="9">
        <v>11556.66</v>
      </c>
      <c r="X31" s="9">
        <v>12512.1</v>
      </c>
      <c r="Y31" s="9">
        <v>13474.36</v>
      </c>
      <c r="Z31" s="9">
        <v>13545.47</v>
      </c>
      <c r="AA31" s="9">
        <v>13402.21</v>
      </c>
      <c r="AB31" s="9">
        <v>16767.060000000001</v>
      </c>
      <c r="AC31" s="9">
        <v>18368.580000000002</v>
      </c>
      <c r="AD31" s="9">
        <v>25714.44</v>
      </c>
      <c r="AE31" s="9">
        <v>25367.64</v>
      </c>
    </row>
    <row r="32" spans="1:31" ht="11.35" customHeight="1" x14ac:dyDescent="0.45">
      <c r="A32" s="5" t="s">
        <v>64</v>
      </c>
      <c r="B32" s="8">
        <v>3047.89</v>
      </c>
      <c r="C32" s="8">
        <v>3278.49</v>
      </c>
      <c r="D32" s="8">
        <v>3278.39</v>
      </c>
      <c r="E32" s="8">
        <v>3699.64</v>
      </c>
      <c r="F32" s="8">
        <v>3870.64</v>
      </c>
      <c r="G32" s="8">
        <v>3340.57</v>
      </c>
      <c r="H32" s="8">
        <v>3841.79</v>
      </c>
      <c r="I32" s="8">
        <v>4264.16</v>
      </c>
      <c r="J32" s="8">
        <v>4308.84</v>
      </c>
      <c r="K32" s="8">
        <v>4487.54</v>
      </c>
      <c r="L32" s="8">
        <v>4584.13</v>
      </c>
      <c r="M32" s="8">
        <v>4641.33</v>
      </c>
      <c r="N32" s="8">
        <v>4819.3900000000003</v>
      </c>
      <c r="O32" s="8">
        <v>4483.84</v>
      </c>
      <c r="P32" s="8">
        <v>4275.67</v>
      </c>
      <c r="Q32" s="8">
        <v>4361.59</v>
      </c>
      <c r="R32" s="8">
        <v>4084.03</v>
      </c>
      <c r="S32" s="8">
        <v>3683.38</v>
      </c>
      <c r="T32" s="8">
        <v>3734.48</v>
      </c>
      <c r="U32" s="8">
        <v>3957.06</v>
      </c>
      <c r="V32" s="8">
        <v>4331.22</v>
      </c>
      <c r="W32" s="8">
        <v>4839.76</v>
      </c>
      <c r="X32" s="8">
        <v>5024.22</v>
      </c>
      <c r="Y32" s="8">
        <v>5154.66</v>
      </c>
      <c r="Z32" s="8">
        <v>5443.32</v>
      </c>
      <c r="AA32" s="8">
        <v>4763.47</v>
      </c>
      <c r="AB32" s="8">
        <v>5026.0600000000004</v>
      </c>
      <c r="AC32" s="8">
        <v>4647.79</v>
      </c>
      <c r="AD32" s="8">
        <v>5385.63</v>
      </c>
      <c r="AE32" s="8">
        <v>5855.28</v>
      </c>
    </row>
    <row r="33" spans="1:31" ht="11.35" customHeight="1" x14ac:dyDescent="0.45">
      <c r="A33" s="5" t="s">
        <v>65</v>
      </c>
      <c r="B33" s="9">
        <v>499.25</v>
      </c>
      <c r="C33" s="9">
        <v>504.59</v>
      </c>
      <c r="D33" s="9">
        <v>876.42</v>
      </c>
      <c r="E33" s="9">
        <v>1129.8900000000001</v>
      </c>
      <c r="F33" s="9">
        <v>1299.97</v>
      </c>
      <c r="G33" s="9">
        <v>1378.73</v>
      </c>
      <c r="H33" s="9">
        <v>1065.72</v>
      </c>
      <c r="I33" s="9">
        <v>1030.73</v>
      </c>
      <c r="J33" s="9">
        <v>1226.01</v>
      </c>
      <c r="K33" s="9">
        <v>1435.25</v>
      </c>
      <c r="L33" s="9">
        <v>1589.63</v>
      </c>
      <c r="M33" s="9">
        <v>1888.79</v>
      </c>
      <c r="N33" s="9">
        <v>2562.14</v>
      </c>
      <c r="O33" s="9">
        <v>2487.1799999999998</v>
      </c>
      <c r="P33" s="9">
        <v>2244.58</v>
      </c>
      <c r="Q33" s="9">
        <v>2650.61</v>
      </c>
      <c r="R33" s="9">
        <v>2573.54</v>
      </c>
      <c r="S33" s="9">
        <v>2667.48</v>
      </c>
      <c r="T33" s="9">
        <v>2957.28</v>
      </c>
      <c r="U33" s="9">
        <v>3587.37</v>
      </c>
      <c r="V33" s="9">
        <v>3919.76</v>
      </c>
      <c r="W33" s="9">
        <v>4085.32</v>
      </c>
      <c r="X33" s="9">
        <v>3640.19</v>
      </c>
      <c r="Y33" s="9">
        <v>4033.39</v>
      </c>
      <c r="Z33" s="9">
        <v>4731.71</v>
      </c>
      <c r="AA33" s="9">
        <v>4196.21</v>
      </c>
      <c r="AB33" s="9">
        <v>5867.48</v>
      </c>
      <c r="AC33" s="9">
        <v>10559.49</v>
      </c>
      <c r="AD33" s="9">
        <v>8326.32</v>
      </c>
      <c r="AE33" s="9">
        <v>8552.59</v>
      </c>
    </row>
    <row r="34" spans="1:31" ht="11.35" customHeight="1" x14ac:dyDescent="0.45">
      <c r="A34" s="5" t="s">
        <v>66</v>
      </c>
      <c r="B34" s="8">
        <v>671.75</v>
      </c>
      <c r="C34" s="8">
        <v>723.56</v>
      </c>
      <c r="D34" s="8">
        <v>801.31</v>
      </c>
      <c r="E34" s="8">
        <v>969.16</v>
      </c>
      <c r="F34" s="8">
        <v>853.32</v>
      </c>
      <c r="G34" s="8">
        <v>613.52</v>
      </c>
      <c r="H34" s="8">
        <v>719.97</v>
      </c>
      <c r="I34" s="8">
        <v>785.57</v>
      </c>
      <c r="J34" s="8">
        <v>842.41</v>
      </c>
      <c r="K34" s="8">
        <v>896.98</v>
      </c>
      <c r="L34" s="8">
        <v>912.43</v>
      </c>
      <c r="M34" s="8">
        <v>926.52</v>
      </c>
      <c r="N34" s="8">
        <v>1030.31</v>
      </c>
      <c r="O34" s="8">
        <v>1110.79</v>
      </c>
      <c r="P34" s="8">
        <v>1298.93</v>
      </c>
      <c r="Q34" s="8">
        <v>1406.26</v>
      </c>
      <c r="R34" s="8">
        <v>1366.46</v>
      </c>
      <c r="S34" s="6">
        <v>1436</v>
      </c>
      <c r="T34" s="8">
        <v>1543.52</v>
      </c>
      <c r="U34" s="8">
        <v>1581.97</v>
      </c>
      <c r="V34" s="8">
        <v>1694.15</v>
      </c>
      <c r="W34" s="8">
        <v>1770.88</v>
      </c>
      <c r="X34" s="8">
        <v>1800.1</v>
      </c>
      <c r="Y34" s="8">
        <v>1791.12</v>
      </c>
      <c r="Z34" s="8">
        <v>1819.75</v>
      </c>
      <c r="AA34" s="8">
        <v>1574.7</v>
      </c>
      <c r="AB34" s="8">
        <v>1693.65</v>
      </c>
      <c r="AC34" s="8">
        <v>1662.02</v>
      </c>
      <c r="AD34" s="8">
        <v>1795.46</v>
      </c>
      <c r="AE34" s="8">
        <v>1908.26</v>
      </c>
    </row>
    <row r="35" spans="1:31" ht="11.35" customHeight="1" x14ac:dyDescent="0.45">
      <c r="A35" s="5" t="s">
        <v>67</v>
      </c>
      <c r="B35" s="9">
        <v>374.36</v>
      </c>
      <c r="C35" s="9">
        <v>377.47</v>
      </c>
      <c r="D35" s="9">
        <v>412.44</v>
      </c>
      <c r="E35" s="9">
        <v>407.38</v>
      </c>
      <c r="F35" s="9">
        <v>402.94</v>
      </c>
      <c r="G35" s="9">
        <v>510.08</v>
      </c>
      <c r="H35" s="9">
        <v>479.64</v>
      </c>
      <c r="I35" s="9">
        <v>587.97</v>
      </c>
      <c r="J35" s="9">
        <v>737.76</v>
      </c>
      <c r="K35" s="9">
        <v>870.48</v>
      </c>
      <c r="L35" s="9">
        <v>945.3</v>
      </c>
      <c r="M35" s="9">
        <v>1046.8499999999999</v>
      </c>
      <c r="N35" s="9">
        <v>1201.06</v>
      </c>
      <c r="O35" s="9">
        <v>1363.73</v>
      </c>
      <c r="P35" s="7">
        <v>1264</v>
      </c>
      <c r="Q35" s="9">
        <v>1419.5</v>
      </c>
      <c r="R35" s="9">
        <v>1726.98</v>
      </c>
      <c r="S35" s="9">
        <v>1743.89</v>
      </c>
      <c r="T35" s="9">
        <v>1872.7</v>
      </c>
      <c r="U35" s="9">
        <v>1932.31</v>
      </c>
      <c r="V35" s="9">
        <v>1997.55</v>
      </c>
      <c r="W35" s="9">
        <v>2019.35</v>
      </c>
      <c r="X35" s="9">
        <v>2149.02</v>
      </c>
      <c r="Y35" s="9">
        <v>2226.1799999999998</v>
      </c>
      <c r="Z35" s="9">
        <v>2361.5300000000002</v>
      </c>
      <c r="AA35" s="9">
        <v>2294.29</v>
      </c>
      <c r="AB35" s="9">
        <v>2382.69</v>
      </c>
      <c r="AC35" s="9">
        <v>2330.16</v>
      </c>
      <c r="AD35" s="9">
        <v>2667.72</v>
      </c>
      <c r="AE35" s="9">
        <v>2476.1999999999998</v>
      </c>
    </row>
    <row r="36" spans="1:31" ht="11.35" customHeight="1" x14ac:dyDescent="0.45">
      <c r="A36" s="5" t="s">
        <v>68</v>
      </c>
      <c r="B36" s="8">
        <v>2930.92</v>
      </c>
      <c r="C36" s="8">
        <v>3153.35</v>
      </c>
      <c r="D36" s="8">
        <v>3640.86</v>
      </c>
      <c r="E36" s="8">
        <v>3863.1</v>
      </c>
      <c r="F36" s="6">
        <v>4207</v>
      </c>
      <c r="G36" s="6">
        <v>4163</v>
      </c>
      <c r="H36" s="6">
        <v>4158</v>
      </c>
      <c r="I36" s="6">
        <v>4411</v>
      </c>
      <c r="J36" s="6">
        <v>4677</v>
      </c>
      <c r="K36" s="6">
        <v>4953</v>
      </c>
      <c r="L36" s="6">
        <v>4890</v>
      </c>
      <c r="M36" s="6">
        <v>5027</v>
      </c>
      <c r="N36" s="6">
        <v>4968</v>
      </c>
      <c r="O36" s="6">
        <v>5028</v>
      </c>
      <c r="P36" s="6">
        <v>4586</v>
      </c>
      <c r="Q36" s="6">
        <v>5015</v>
      </c>
      <c r="R36" s="6">
        <v>5945</v>
      </c>
      <c r="S36" s="6">
        <v>5949</v>
      </c>
      <c r="T36" s="6">
        <v>5953</v>
      </c>
      <c r="U36" s="6">
        <v>5957</v>
      </c>
      <c r="V36" s="6">
        <v>6118</v>
      </c>
      <c r="W36" s="6">
        <v>6709</v>
      </c>
      <c r="X36" s="6">
        <v>6693</v>
      </c>
      <c r="Y36" s="6">
        <v>6848</v>
      </c>
      <c r="Z36" s="6">
        <v>6730</v>
      </c>
      <c r="AA36" s="6">
        <v>6487</v>
      </c>
      <c r="AB36" s="6">
        <v>6289</v>
      </c>
      <c r="AC36" s="6">
        <v>6529</v>
      </c>
      <c r="AD36" s="6">
        <v>6182</v>
      </c>
      <c r="AE36" s="6">
        <v>6006</v>
      </c>
    </row>
    <row r="37" spans="1:31" ht="11.35" customHeight="1" x14ac:dyDescent="0.45">
      <c r="A37" s="5" t="s">
        <v>69</v>
      </c>
      <c r="B37" s="9">
        <v>5292.38</v>
      </c>
      <c r="C37" s="9">
        <v>6691.37</v>
      </c>
      <c r="D37" s="9">
        <v>6565.79</v>
      </c>
      <c r="E37" s="9">
        <v>6770.6</v>
      </c>
      <c r="F37" s="9">
        <v>6900.26</v>
      </c>
      <c r="G37" s="9">
        <v>7414.27</v>
      </c>
      <c r="H37" s="9">
        <v>7081.39</v>
      </c>
      <c r="I37" s="9">
        <v>7617.75</v>
      </c>
      <c r="J37" s="9">
        <v>8124.22</v>
      </c>
      <c r="K37" s="9">
        <v>8404.48</v>
      </c>
      <c r="L37" s="9">
        <v>8711.6200000000008</v>
      </c>
      <c r="M37" s="9">
        <v>8958.23</v>
      </c>
      <c r="N37" s="9">
        <v>9167.68</v>
      </c>
      <c r="O37" s="9">
        <v>9364.76</v>
      </c>
      <c r="P37" s="9">
        <v>8667.1200000000008</v>
      </c>
      <c r="Q37" s="9">
        <v>9977.14</v>
      </c>
      <c r="R37" s="9">
        <v>10056.48</v>
      </c>
      <c r="S37" s="9">
        <v>10310.66</v>
      </c>
      <c r="T37" s="9">
        <v>10257.99</v>
      </c>
      <c r="U37" s="9">
        <v>9557.9500000000007</v>
      </c>
      <c r="V37" s="9">
        <v>9797.19</v>
      </c>
      <c r="W37" s="9">
        <v>10358.65</v>
      </c>
      <c r="X37" s="9">
        <v>10158.9</v>
      </c>
      <c r="Y37" s="9">
        <v>9816.93</v>
      </c>
      <c r="Z37" s="9">
        <v>9779.11</v>
      </c>
      <c r="AA37" s="9">
        <v>9597.99</v>
      </c>
      <c r="AB37" s="9">
        <v>10243.83</v>
      </c>
      <c r="AC37" s="9">
        <v>10651.29</v>
      </c>
      <c r="AD37" s="9">
        <v>10857.84</v>
      </c>
      <c r="AE37" s="9">
        <v>8938.64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E37"/>
  <sheetViews>
    <sheetView workbookViewId="0">
      <pane xSplit="1" ySplit="9" topLeftCell="B10" activePane="bottomRight" state="frozen"/>
      <selection pane="topRight"/>
      <selection pane="bottomLeft"/>
      <selection pane="bottomRight" activeCell="D53" sqref="D53"/>
    </sheetView>
  </sheetViews>
  <sheetFormatPr defaultRowHeight="11.35" customHeight="1" x14ac:dyDescent="0.45"/>
  <cols>
    <col min="1" max="1" width="29.86328125" customWidth="1"/>
    <col min="2" max="31" width="9.9296875" customWidth="1"/>
  </cols>
  <sheetData>
    <row r="1" spans="1:31" ht="11.35" customHeight="1" x14ac:dyDescent="0.45">
      <c r="A1" s="2" t="s">
        <v>0</v>
      </c>
    </row>
    <row r="2" spans="1:31" ht="11.35" customHeight="1" x14ac:dyDescent="0.45">
      <c r="A2" s="2" t="s">
        <v>1</v>
      </c>
      <c r="B2" s="1" t="s">
        <v>2</v>
      </c>
    </row>
    <row r="3" spans="1:31" ht="11.35" customHeight="1" x14ac:dyDescent="0.45">
      <c r="A3" s="2" t="s">
        <v>3</v>
      </c>
      <c r="B3" s="2" t="s">
        <v>4</v>
      </c>
    </row>
    <row r="5" spans="1:31" ht="11.35" customHeight="1" x14ac:dyDescent="0.45">
      <c r="A5" s="1" t="s">
        <v>5</v>
      </c>
      <c r="B5" s="2" t="s">
        <v>6</v>
      </c>
    </row>
    <row r="6" spans="1:31" ht="11.35" customHeight="1" x14ac:dyDescent="0.45">
      <c r="A6" s="1" t="s">
        <v>7</v>
      </c>
      <c r="B6" s="2" t="s">
        <v>70</v>
      </c>
    </row>
    <row r="7" spans="1:31" ht="11.35" customHeight="1" x14ac:dyDescent="0.45">
      <c r="A7" s="1" t="s">
        <v>9</v>
      </c>
      <c r="B7" s="2" t="s">
        <v>10</v>
      </c>
    </row>
    <row r="9" spans="1:31" ht="11.35" customHeight="1" x14ac:dyDescent="0.45">
      <c r="A9" s="4" t="s">
        <v>11</v>
      </c>
      <c r="B9" s="3" t="s">
        <v>12</v>
      </c>
      <c r="C9" s="3" t="s">
        <v>13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  <c r="J9" s="3" t="s">
        <v>20</v>
      </c>
      <c r="K9" s="3" t="s">
        <v>21</v>
      </c>
      <c r="L9" s="3" t="s">
        <v>22</v>
      </c>
      <c r="M9" s="3" t="s">
        <v>23</v>
      </c>
      <c r="N9" s="3" t="s">
        <v>24</v>
      </c>
      <c r="O9" s="3" t="s">
        <v>25</v>
      </c>
      <c r="P9" s="3" t="s">
        <v>26</v>
      </c>
      <c r="Q9" s="3" t="s">
        <v>27</v>
      </c>
      <c r="R9" s="3" t="s">
        <v>28</v>
      </c>
      <c r="S9" s="3" t="s">
        <v>29</v>
      </c>
      <c r="T9" s="3" t="s">
        <v>30</v>
      </c>
      <c r="U9" s="3" t="s">
        <v>31</v>
      </c>
      <c r="V9" s="3" t="s">
        <v>32</v>
      </c>
      <c r="W9" s="3" t="s">
        <v>33</v>
      </c>
      <c r="X9" s="3" t="s">
        <v>34</v>
      </c>
      <c r="Y9" s="3" t="s">
        <v>35</v>
      </c>
      <c r="Z9" s="3" t="s">
        <v>36</v>
      </c>
      <c r="AA9" s="3" t="s">
        <v>37</v>
      </c>
      <c r="AB9" s="3" t="s">
        <v>38</v>
      </c>
      <c r="AC9" s="3" t="s">
        <v>39</v>
      </c>
      <c r="AD9" s="3" t="s">
        <v>40</v>
      </c>
      <c r="AE9" s="3" t="s">
        <v>41</v>
      </c>
    </row>
    <row r="10" spans="1:31" ht="11.35" customHeight="1" x14ac:dyDescent="0.45">
      <c r="A10" s="5" t="s">
        <v>42</v>
      </c>
      <c r="B10" s="8">
        <v>125460.37</v>
      </c>
      <c r="C10" s="8">
        <v>133532.25</v>
      </c>
      <c r="D10" s="8">
        <v>136364.49</v>
      </c>
      <c r="E10" s="8">
        <v>141230.67000000001</v>
      </c>
      <c r="F10" s="8">
        <v>151985.16</v>
      </c>
      <c r="G10" s="8">
        <v>155650.56</v>
      </c>
      <c r="H10" s="8">
        <v>162998.32999999999</v>
      </c>
      <c r="I10" s="8">
        <v>170923.49</v>
      </c>
      <c r="J10" s="8">
        <v>180099.47</v>
      </c>
      <c r="K10" s="8">
        <v>184681.44</v>
      </c>
      <c r="L10" s="8">
        <v>188986.44</v>
      </c>
      <c r="M10" s="8">
        <v>194453.42</v>
      </c>
      <c r="N10" s="8">
        <v>197567.79</v>
      </c>
      <c r="O10" s="8">
        <v>201367.58</v>
      </c>
      <c r="P10" s="8">
        <v>206590.77</v>
      </c>
      <c r="Q10" s="8">
        <v>212157.89</v>
      </c>
      <c r="R10" s="8">
        <v>227806.28</v>
      </c>
      <c r="S10" s="8">
        <v>234301.7</v>
      </c>
      <c r="T10" s="8">
        <v>247292.51</v>
      </c>
      <c r="U10" s="8">
        <v>257557.55</v>
      </c>
      <c r="V10" s="8">
        <v>262044.77</v>
      </c>
      <c r="W10" s="8">
        <v>272119.18</v>
      </c>
      <c r="X10" s="8">
        <v>278140.98</v>
      </c>
      <c r="Y10" s="8">
        <v>282403.90999999997</v>
      </c>
      <c r="Z10" s="8">
        <v>288633.81</v>
      </c>
      <c r="AA10" s="8">
        <v>265868.48</v>
      </c>
      <c r="AB10" s="8">
        <v>282537.17</v>
      </c>
      <c r="AC10" s="8">
        <v>268436.69</v>
      </c>
      <c r="AD10" s="8">
        <v>278660.34999999998</v>
      </c>
      <c r="AE10" s="8">
        <v>294440.12</v>
      </c>
    </row>
    <row r="11" spans="1:31" ht="11.35" customHeight="1" x14ac:dyDescent="0.45">
      <c r="A11" s="5" t="s">
        <v>43</v>
      </c>
      <c r="B11" s="9">
        <v>3303.63</v>
      </c>
      <c r="C11" s="9">
        <v>3450.06</v>
      </c>
      <c r="D11" s="9">
        <v>3474.55</v>
      </c>
      <c r="E11" s="9">
        <v>3556.54</v>
      </c>
      <c r="F11" s="9">
        <v>3598.7</v>
      </c>
      <c r="G11" s="9">
        <v>3613.9</v>
      </c>
      <c r="H11" s="9">
        <v>3632.2</v>
      </c>
      <c r="I11" s="9">
        <v>3673.6</v>
      </c>
      <c r="J11" s="9">
        <v>3960.8</v>
      </c>
      <c r="K11" s="9">
        <v>4458.3999999999996</v>
      </c>
      <c r="L11" s="9">
        <v>4698.2</v>
      </c>
      <c r="M11" s="7">
        <v>4656</v>
      </c>
      <c r="N11" s="9">
        <v>4939.6000000000004</v>
      </c>
      <c r="O11" s="9">
        <v>5035.2</v>
      </c>
      <c r="P11" s="9">
        <v>5064.8999999999996</v>
      </c>
      <c r="Q11" s="9">
        <v>5627.8</v>
      </c>
      <c r="R11" s="9">
        <v>6168.7</v>
      </c>
      <c r="S11" s="7">
        <v>6315</v>
      </c>
      <c r="T11" s="9">
        <v>6481.8</v>
      </c>
      <c r="U11" s="9">
        <v>6859.2</v>
      </c>
      <c r="V11" s="9">
        <v>7238.8</v>
      </c>
      <c r="W11" s="9">
        <v>8093.8</v>
      </c>
      <c r="X11" s="7">
        <v>8534</v>
      </c>
      <c r="Y11" s="9">
        <v>8779.2000000000007</v>
      </c>
      <c r="Z11" s="9">
        <v>8943.2999999999993</v>
      </c>
      <c r="AA11" s="9">
        <v>7972.9</v>
      </c>
      <c r="AB11" s="9">
        <v>8874.1</v>
      </c>
      <c r="AC11" s="9">
        <v>8691.4</v>
      </c>
      <c r="AD11" s="9">
        <v>9921.5</v>
      </c>
      <c r="AE11" s="9">
        <v>9723.9</v>
      </c>
    </row>
    <row r="12" spans="1:31" ht="11.35" customHeight="1" x14ac:dyDescent="0.45">
      <c r="A12" s="5" t="s">
        <v>44</v>
      </c>
      <c r="B12" s="8">
        <v>157.69999999999999</v>
      </c>
      <c r="C12" s="8">
        <v>70.680000000000007</v>
      </c>
      <c r="D12" s="8">
        <v>114.17</v>
      </c>
      <c r="E12" s="8">
        <v>299.58999999999997</v>
      </c>
      <c r="F12" s="8">
        <v>293.7</v>
      </c>
      <c r="G12" s="8">
        <v>377.23</v>
      </c>
      <c r="H12" s="8">
        <v>370.46</v>
      </c>
      <c r="I12" s="8">
        <v>365.86</v>
      </c>
      <c r="J12" s="8">
        <v>459.96</v>
      </c>
      <c r="K12" s="8">
        <v>553.71</v>
      </c>
      <c r="L12" s="8">
        <v>628.77</v>
      </c>
      <c r="M12" s="8">
        <v>659.8</v>
      </c>
      <c r="N12" s="8">
        <v>921.16</v>
      </c>
      <c r="O12" s="8">
        <v>1059.93</v>
      </c>
      <c r="P12" s="8">
        <v>933.58</v>
      </c>
      <c r="Q12" s="8">
        <v>926.78</v>
      </c>
      <c r="R12" s="8">
        <v>982.74</v>
      </c>
      <c r="S12" s="8">
        <v>995.13</v>
      </c>
      <c r="T12" s="8">
        <v>1054.5899999999999</v>
      </c>
      <c r="U12" s="8">
        <v>1068.6400000000001</v>
      </c>
      <c r="V12" s="8">
        <v>1192.26</v>
      </c>
      <c r="W12" s="8">
        <v>1267.3599999999999</v>
      </c>
      <c r="X12" s="8">
        <v>1281.25</v>
      </c>
      <c r="Y12" s="8">
        <v>1264.25</v>
      </c>
      <c r="Z12" s="8">
        <v>1626.93</v>
      </c>
      <c r="AA12" s="8">
        <v>1642.06</v>
      </c>
      <c r="AB12" s="8">
        <v>1743.95</v>
      </c>
      <c r="AC12" s="8">
        <v>3858.41</v>
      </c>
      <c r="AD12" s="8">
        <v>2924.81</v>
      </c>
      <c r="AE12" s="8">
        <v>2835.03</v>
      </c>
    </row>
    <row r="13" spans="1:31" ht="11.35" customHeight="1" x14ac:dyDescent="0.45">
      <c r="A13" s="5" t="s">
        <v>45</v>
      </c>
      <c r="B13" s="9">
        <v>976.57</v>
      </c>
      <c r="C13" s="9">
        <v>1062.22</v>
      </c>
      <c r="D13" s="7">
        <v>1069</v>
      </c>
      <c r="E13" s="9">
        <v>1125.75</v>
      </c>
      <c r="F13" s="9">
        <v>1235.71</v>
      </c>
      <c r="G13" s="9">
        <v>1320.21</v>
      </c>
      <c r="H13" s="9">
        <v>1569.45</v>
      </c>
      <c r="I13" s="9">
        <v>1758.64</v>
      </c>
      <c r="J13" s="9">
        <v>1851.47</v>
      </c>
      <c r="K13" s="9">
        <v>2131.4499999999998</v>
      </c>
      <c r="L13" s="9">
        <v>2495.27</v>
      </c>
      <c r="M13" s="9">
        <v>2712.65</v>
      </c>
      <c r="N13" s="9">
        <v>2939.03</v>
      </c>
      <c r="O13" s="9">
        <v>3363.59</v>
      </c>
      <c r="P13" s="9">
        <v>3182.07</v>
      </c>
      <c r="Q13" s="9">
        <v>3314.98</v>
      </c>
      <c r="R13" s="9">
        <v>3574.58</v>
      </c>
      <c r="S13" s="9">
        <v>3349.04</v>
      </c>
      <c r="T13" s="9">
        <v>3106.81</v>
      </c>
      <c r="U13" s="9">
        <v>3103.17</v>
      </c>
      <c r="V13" s="9">
        <v>3217.57</v>
      </c>
      <c r="W13" s="9">
        <v>3465.15</v>
      </c>
      <c r="X13" s="9">
        <v>3621.55</v>
      </c>
      <c r="Y13" s="9">
        <v>3841.35</v>
      </c>
      <c r="Z13" s="9">
        <v>4301.4399999999996</v>
      </c>
      <c r="AA13" s="9">
        <v>3880.7</v>
      </c>
      <c r="AB13" s="9">
        <v>4119.8900000000003</v>
      </c>
      <c r="AC13" s="9">
        <v>3992.79</v>
      </c>
      <c r="AD13" s="9">
        <v>4869.0200000000004</v>
      </c>
      <c r="AE13" s="9">
        <v>4553.82</v>
      </c>
    </row>
    <row r="14" spans="1:31" ht="11.35" customHeight="1" x14ac:dyDescent="0.45">
      <c r="A14" s="5" t="s">
        <v>46</v>
      </c>
      <c r="B14" s="8">
        <v>2952.88</v>
      </c>
      <c r="C14" s="8">
        <v>3287.43</v>
      </c>
      <c r="D14" s="8">
        <v>3308.19</v>
      </c>
      <c r="E14" s="8">
        <v>4203.13</v>
      </c>
      <c r="F14" s="8">
        <v>4700.54</v>
      </c>
      <c r="G14" s="8">
        <v>4853.5200000000004</v>
      </c>
      <c r="H14" s="8">
        <v>5252.64</v>
      </c>
      <c r="I14" s="8">
        <v>5429.63</v>
      </c>
      <c r="J14" s="8">
        <v>5429.37</v>
      </c>
      <c r="K14" s="8">
        <v>5594.15</v>
      </c>
      <c r="L14" s="8">
        <v>5360.09</v>
      </c>
      <c r="M14" s="8">
        <v>5060.74</v>
      </c>
      <c r="N14" s="8">
        <v>5464.16</v>
      </c>
      <c r="O14" s="8">
        <v>5166.74</v>
      </c>
      <c r="P14" s="8">
        <v>5361.41</v>
      </c>
      <c r="Q14" s="8">
        <v>5744.83</v>
      </c>
      <c r="R14" s="8">
        <v>5958.8</v>
      </c>
      <c r="S14" s="8">
        <v>6076.99</v>
      </c>
      <c r="T14" s="8">
        <v>6214.35</v>
      </c>
      <c r="U14" s="8">
        <v>6197.19</v>
      </c>
      <c r="V14" s="8">
        <v>6022.87</v>
      </c>
      <c r="W14" s="8">
        <v>6151.2</v>
      </c>
      <c r="X14" s="8">
        <v>5861.37</v>
      </c>
      <c r="Y14" s="8">
        <v>5775.84</v>
      </c>
      <c r="Z14" s="8">
        <v>5308.49</v>
      </c>
      <c r="AA14" s="8">
        <v>5165.7299999999996</v>
      </c>
      <c r="AB14" s="8">
        <v>5219.66</v>
      </c>
      <c r="AC14" s="8">
        <v>4952.7700000000004</v>
      </c>
      <c r="AD14" s="8">
        <v>4051.54</v>
      </c>
      <c r="AE14" s="8">
        <v>5009.21</v>
      </c>
    </row>
    <row r="15" spans="1:31" ht="11.35" customHeight="1" x14ac:dyDescent="0.45">
      <c r="A15" s="5" t="s">
        <v>47</v>
      </c>
      <c r="B15" s="9">
        <v>34720.1</v>
      </c>
      <c r="C15" s="9">
        <v>35134.54</v>
      </c>
      <c r="D15" s="9">
        <v>34171.68</v>
      </c>
      <c r="E15" s="9">
        <v>34099.15</v>
      </c>
      <c r="F15" s="7">
        <v>39297</v>
      </c>
      <c r="G15" s="7">
        <v>43953</v>
      </c>
      <c r="H15" s="7">
        <v>47832</v>
      </c>
      <c r="I15" s="7">
        <v>49597</v>
      </c>
      <c r="J15" s="7">
        <v>53889</v>
      </c>
      <c r="K15" s="7">
        <v>53109</v>
      </c>
      <c r="L15" s="7">
        <v>52157</v>
      </c>
      <c r="M15" s="7">
        <v>53593</v>
      </c>
      <c r="N15" s="7">
        <v>53862</v>
      </c>
      <c r="O15" s="7">
        <v>55300</v>
      </c>
      <c r="P15" s="7">
        <v>58181</v>
      </c>
      <c r="Q15" s="7">
        <v>55358</v>
      </c>
      <c r="R15" s="7">
        <v>62804</v>
      </c>
      <c r="S15" s="7">
        <v>63224</v>
      </c>
      <c r="T15" s="7">
        <v>68765</v>
      </c>
      <c r="U15" s="7">
        <v>72286</v>
      </c>
      <c r="V15" s="7">
        <v>71004</v>
      </c>
      <c r="W15" s="7">
        <v>72436</v>
      </c>
      <c r="X15" s="7">
        <v>75195</v>
      </c>
      <c r="Y15" s="7">
        <v>74310</v>
      </c>
      <c r="Z15" s="7">
        <v>75185</v>
      </c>
      <c r="AA15" s="7">
        <v>72982</v>
      </c>
      <c r="AB15" s="7">
        <v>71915</v>
      </c>
      <c r="AC15" s="7">
        <v>62510</v>
      </c>
      <c r="AD15" s="7">
        <v>59767</v>
      </c>
      <c r="AE15" s="7">
        <v>64249</v>
      </c>
    </row>
    <row r="16" spans="1:31" ht="11.35" customHeight="1" x14ac:dyDescent="0.45">
      <c r="A16" s="5" t="s">
        <v>48</v>
      </c>
      <c r="B16" s="8">
        <v>16.2</v>
      </c>
      <c r="C16" s="8">
        <v>38.840000000000003</v>
      </c>
      <c r="D16" s="8">
        <v>53.23</v>
      </c>
      <c r="E16" s="8">
        <v>79.75</v>
      </c>
      <c r="F16" s="8">
        <v>72.52</v>
      </c>
      <c r="G16" s="8">
        <v>76.06</v>
      </c>
      <c r="H16" s="8">
        <v>111.39</v>
      </c>
      <c r="I16" s="8">
        <v>116.69</v>
      </c>
      <c r="J16" s="8">
        <v>133.9</v>
      </c>
      <c r="K16" s="8">
        <v>173.76</v>
      </c>
      <c r="L16" s="8">
        <v>215.88</v>
      </c>
      <c r="M16" s="8">
        <v>243.11</v>
      </c>
      <c r="N16" s="8">
        <v>297.99</v>
      </c>
      <c r="O16" s="8">
        <v>334.55</v>
      </c>
      <c r="P16" s="8">
        <v>383.91</v>
      </c>
      <c r="Q16" s="8">
        <v>432.84</v>
      </c>
      <c r="R16" s="8">
        <v>442.03</v>
      </c>
      <c r="S16" s="8">
        <v>503.79</v>
      </c>
      <c r="T16" s="8">
        <v>485.72</v>
      </c>
      <c r="U16" s="8">
        <v>520.92999999999995</v>
      </c>
      <c r="V16" s="8">
        <v>557.78</v>
      </c>
      <c r="W16" s="8">
        <v>641.73</v>
      </c>
      <c r="X16" s="8">
        <v>682.41</v>
      </c>
      <c r="Y16" s="8">
        <v>696.55</v>
      </c>
      <c r="Z16" s="8">
        <v>902.1</v>
      </c>
      <c r="AA16" s="8">
        <v>691.73</v>
      </c>
      <c r="AB16" s="8">
        <v>757.51</v>
      </c>
      <c r="AC16" s="8">
        <v>851.84</v>
      </c>
      <c r="AD16" s="8">
        <v>930.78</v>
      </c>
      <c r="AE16" s="8">
        <v>973.78</v>
      </c>
    </row>
    <row r="17" spans="1:31" ht="11.35" customHeight="1" x14ac:dyDescent="0.45">
      <c r="A17" s="5" t="s">
        <v>49</v>
      </c>
      <c r="B17" s="9">
        <v>887.67</v>
      </c>
      <c r="C17" s="9">
        <v>1001.31</v>
      </c>
      <c r="D17" s="9">
        <v>1197.8499999999999</v>
      </c>
      <c r="E17" s="9">
        <v>1307.98</v>
      </c>
      <c r="F17" s="9">
        <v>1434.51</v>
      </c>
      <c r="G17" s="9">
        <v>1491.34</v>
      </c>
      <c r="H17" s="9">
        <v>1435.77</v>
      </c>
      <c r="I17" s="9">
        <v>1674.01</v>
      </c>
      <c r="J17" s="9">
        <v>1762.91</v>
      </c>
      <c r="K17" s="9">
        <v>2084.2199999999998</v>
      </c>
      <c r="L17" s="9">
        <v>2212.29</v>
      </c>
      <c r="M17" s="9">
        <v>2232.4899999999998</v>
      </c>
      <c r="N17" s="9">
        <v>2250.4699999999998</v>
      </c>
      <c r="O17" s="9">
        <v>2249.81</v>
      </c>
      <c r="P17" s="9">
        <v>2267.87</v>
      </c>
      <c r="Q17" s="9">
        <v>2520.3000000000002</v>
      </c>
      <c r="R17" s="9">
        <v>2696.32</v>
      </c>
      <c r="S17" s="9">
        <v>2634.41</v>
      </c>
      <c r="T17" s="9">
        <v>2721.34</v>
      </c>
      <c r="U17" s="9">
        <v>2840.2</v>
      </c>
      <c r="V17" s="9">
        <v>3042.88</v>
      </c>
      <c r="W17" s="9">
        <v>3135.25</v>
      </c>
      <c r="X17" s="7">
        <v>3258</v>
      </c>
      <c r="Y17" s="9">
        <v>3176.04</v>
      </c>
      <c r="Z17" s="9">
        <v>3039.54</v>
      </c>
      <c r="AA17" s="9">
        <v>2786.16</v>
      </c>
      <c r="AB17" s="9">
        <v>3233.49</v>
      </c>
      <c r="AC17" s="9">
        <v>2647.76</v>
      </c>
      <c r="AD17" s="9">
        <v>3030.2</v>
      </c>
      <c r="AE17" s="9">
        <v>3472.25</v>
      </c>
    </row>
    <row r="18" spans="1:31" ht="11.35" customHeight="1" x14ac:dyDescent="0.45">
      <c r="A18" s="5" t="s">
        <v>50</v>
      </c>
      <c r="B18" s="8">
        <v>2462.94</v>
      </c>
      <c r="C18" s="8">
        <v>2688.79</v>
      </c>
      <c r="D18" s="8">
        <v>2700.84</v>
      </c>
      <c r="E18" s="8">
        <v>2450.04</v>
      </c>
      <c r="F18" s="8">
        <v>2327.38</v>
      </c>
      <c r="G18" s="8">
        <v>2040.67</v>
      </c>
      <c r="H18" s="6">
        <v>2142</v>
      </c>
      <c r="I18" s="6">
        <v>2233</v>
      </c>
      <c r="J18" s="6">
        <v>2382</v>
      </c>
      <c r="K18" s="6">
        <v>2424</v>
      </c>
      <c r="L18" s="6">
        <v>2512</v>
      </c>
      <c r="M18" s="6">
        <v>2643</v>
      </c>
      <c r="N18" s="6">
        <v>2895</v>
      </c>
      <c r="O18" s="6">
        <v>3042</v>
      </c>
      <c r="P18" s="6">
        <v>3129</v>
      </c>
      <c r="Q18" s="6">
        <v>4454</v>
      </c>
      <c r="R18" s="6">
        <v>4584</v>
      </c>
      <c r="S18" s="6">
        <v>5622</v>
      </c>
      <c r="T18" s="6">
        <v>5965</v>
      </c>
      <c r="U18" s="6">
        <v>5961</v>
      </c>
      <c r="V18" s="6">
        <v>6030</v>
      </c>
      <c r="W18" s="6">
        <v>5891</v>
      </c>
      <c r="X18" s="6">
        <v>6319</v>
      </c>
      <c r="Y18" s="6">
        <v>5929</v>
      </c>
      <c r="Z18" s="6">
        <v>6186</v>
      </c>
      <c r="AA18" s="6">
        <v>5418</v>
      </c>
      <c r="AB18" s="6">
        <v>6213</v>
      </c>
      <c r="AC18" s="6">
        <v>9989</v>
      </c>
      <c r="AD18" s="6">
        <v>7547</v>
      </c>
      <c r="AE18" s="6">
        <v>7227</v>
      </c>
    </row>
    <row r="19" spans="1:31" ht="11.35" customHeight="1" x14ac:dyDescent="0.45">
      <c r="A19" s="5" t="s">
        <v>51</v>
      </c>
      <c r="B19" s="9">
        <v>8139.64</v>
      </c>
      <c r="C19" s="9">
        <v>8725.7000000000007</v>
      </c>
      <c r="D19" s="9">
        <v>8739.23</v>
      </c>
      <c r="E19" s="9">
        <v>9921.4</v>
      </c>
      <c r="F19" s="7">
        <v>10699</v>
      </c>
      <c r="G19" s="7">
        <v>10936</v>
      </c>
      <c r="H19" s="7">
        <v>11168</v>
      </c>
      <c r="I19" s="7">
        <v>12018</v>
      </c>
      <c r="J19" s="7">
        <v>12721</v>
      </c>
      <c r="K19" s="7">
        <v>13253</v>
      </c>
      <c r="L19" s="7">
        <v>13627</v>
      </c>
      <c r="M19" s="7">
        <v>14051</v>
      </c>
      <c r="N19" s="7">
        <v>14581</v>
      </c>
      <c r="O19" s="7">
        <v>14452</v>
      </c>
      <c r="P19" s="7">
        <v>14070</v>
      </c>
      <c r="Q19" s="7">
        <v>14423</v>
      </c>
      <c r="R19" s="7">
        <v>13794</v>
      </c>
      <c r="S19" s="7">
        <v>13277</v>
      </c>
      <c r="T19" s="7">
        <v>16124</v>
      </c>
      <c r="U19" s="7">
        <v>16104</v>
      </c>
      <c r="V19" s="7">
        <v>17400</v>
      </c>
      <c r="W19" s="7">
        <v>17207</v>
      </c>
      <c r="X19" s="7">
        <v>17698</v>
      </c>
      <c r="Y19" s="7">
        <v>18257</v>
      </c>
      <c r="Z19" s="7">
        <v>18086</v>
      </c>
      <c r="AA19" s="7">
        <v>16020</v>
      </c>
      <c r="AB19" s="7">
        <v>17323</v>
      </c>
      <c r="AC19" s="7">
        <v>16562</v>
      </c>
      <c r="AD19" s="7">
        <v>17726</v>
      </c>
      <c r="AE19" s="7">
        <v>20129</v>
      </c>
    </row>
    <row r="20" spans="1:31" ht="11.35" customHeight="1" x14ac:dyDescent="0.45">
      <c r="A20" s="5" t="s">
        <v>52</v>
      </c>
      <c r="B20" s="8">
        <v>23804.25</v>
      </c>
      <c r="C20" s="8">
        <v>24795.65</v>
      </c>
      <c r="D20" s="8">
        <v>24864.98</v>
      </c>
      <c r="E20" s="8">
        <v>25979.29</v>
      </c>
      <c r="F20" s="6">
        <v>26605</v>
      </c>
      <c r="G20" s="6">
        <v>26300</v>
      </c>
      <c r="H20" s="6">
        <v>25210</v>
      </c>
      <c r="I20" s="6">
        <v>27427</v>
      </c>
      <c r="J20" s="6">
        <v>27365</v>
      </c>
      <c r="K20" s="6">
        <v>28593</v>
      </c>
      <c r="L20" s="6">
        <v>28327</v>
      </c>
      <c r="M20" s="6">
        <v>28710</v>
      </c>
      <c r="N20" s="6">
        <v>28414</v>
      </c>
      <c r="O20" s="6">
        <v>28177</v>
      </c>
      <c r="P20" s="6">
        <v>28078</v>
      </c>
      <c r="Q20" s="6">
        <v>29583</v>
      </c>
      <c r="R20" s="6">
        <v>30808</v>
      </c>
      <c r="S20" s="6">
        <v>31600</v>
      </c>
      <c r="T20" s="6">
        <v>33607</v>
      </c>
      <c r="U20" s="6">
        <v>34342</v>
      </c>
      <c r="V20" s="6">
        <v>38360</v>
      </c>
      <c r="W20" s="6">
        <v>41194</v>
      </c>
      <c r="X20" s="6">
        <v>43862</v>
      </c>
      <c r="Y20" s="6">
        <v>46599</v>
      </c>
      <c r="Z20" s="6">
        <v>47012</v>
      </c>
      <c r="AA20" s="6">
        <v>41090</v>
      </c>
      <c r="AB20" s="6">
        <v>45300</v>
      </c>
      <c r="AC20" s="6">
        <v>44498</v>
      </c>
      <c r="AD20" s="6">
        <v>41197</v>
      </c>
      <c r="AE20" s="6">
        <v>43591</v>
      </c>
    </row>
    <row r="21" spans="1:31" ht="11.35" customHeight="1" x14ac:dyDescent="0.45">
      <c r="A21" s="5" t="s">
        <v>53</v>
      </c>
      <c r="B21" s="9">
        <v>378.63</v>
      </c>
      <c r="C21" s="9">
        <v>395.67</v>
      </c>
      <c r="D21" s="9">
        <v>392.15</v>
      </c>
      <c r="E21" s="9">
        <v>443.92</v>
      </c>
      <c r="F21" s="9">
        <v>453.18</v>
      </c>
      <c r="G21" s="9">
        <v>606.30999999999995</v>
      </c>
      <c r="H21" s="9">
        <v>645.5</v>
      </c>
      <c r="I21" s="9">
        <v>757.86</v>
      </c>
      <c r="J21" s="9">
        <v>790.37</v>
      </c>
      <c r="K21" s="9">
        <v>801.31</v>
      </c>
      <c r="L21" s="9">
        <v>823.37</v>
      </c>
      <c r="M21" s="9">
        <v>866.71</v>
      </c>
      <c r="N21" s="9">
        <v>889.86</v>
      </c>
      <c r="O21" s="9">
        <v>855.37</v>
      </c>
      <c r="P21" s="9">
        <v>885.75</v>
      </c>
      <c r="Q21" s="9">
        <v>984.54</v>
      </c>
      <c r="R21" s="9">
        <v>818.02</v>
      </c>
      <c r="S21" s="9">
        <v>768.3</v>
      </c>
      <c r="T21" s="9">
        <v>895.11</v>
      </c>
      <c r="U21" s="9">
        <v>1003.82</v>
      </c>
      <c r="V21" s="9">
        <v>1126.25</v>
      </c>
      <c r="W21" s="9">
        <v>1220.49</v>
      </c>
      <c r="X21" s="9">
        <v>1267.31</v>
      </c>
      <c r="Y21" s="9">
        <v>1407.14</v>
      </c>
      <c r="Z21" s="9">
        <v>1468.37</v>
      </c>
      <c r="AA21" s="9">
        <v>1264.46</v>
      </c>
      <c r="AB21" s="9">
        <v>1418.51</v>
      </c>
      <c r="AC21" s="9">
        <v>1409.75</v>
      </c>
      <c r="AD21" s="9">
        <v>1627.71</v>
      </c>
      <c r="AE21" s="9">
        <v>1832.34</v>
      </c>
    </row>
    <row r="22" spans="1:31" ht="11.35" customHeight="1" x14ac:dyDescent="0.45">
      <c r="A22" s="5" t="s">
        <v>54</v>
      </c>
      <c r="B22" s="8">
        <v>26964.16</v>
      </c>
      <c r="C22" s="8">
        <v>29871.98</v>
      </c>
      <c r="D22" s="8">
        <v>31347.79</v>
      </c>
      <c r="E22" s="8">
        <v>30916.25</v>
      </c>
      <c r="F22" s="6">
        <v>32520</v>
      </c>
      <c r="G22" s="6">
        <v>30489</v>
      </c>
      <c r="H22" s="6">
        <v>31600</v>
      </c>
      <c r="I22" s="6">
        <v>31561</v>
      </c>
      <c r="J22" s="6">
        <v>33217</v>
      </c>
      <c r="K22" s="6">
        <v>32660</v>
      </c>
      <c r="L22" s="6">
        <v>34387</v>
      </c>
      <c r="M22" s="6">
        <v>35531</v>
      </c>
      <c r="N22" s="6">
        <v>34521</v>
      </c>
      <c r="O22" s="6">
        <v>33162</v>
      </c>
      <c r="P22" s="6">
        <v>38093</v>
      </c>
      <c r="Q22" s="6">
        <v>37896</v>
      </c>
      <c r="R22" s="6">
        <v>42610</v>
      </c>
      <c r="S22" s="6">
        <v>47318</v>
      </c>
      <c r="T22" s="6">
        <v>47920</v>
      </c>
      <c r="U22" s="6">
        <v>52017</v>
      </c>
      <c r="V22" s="6">
        <v>49117</v>
      </c>
      <c r="W22" s="6">
        <v>50854</v>
      </c>
      <c r="X22" s="6">
        <v>48964</v>
      </c>
      <c r="Y22" s="6">
        <v>48827</v>
      </c>
      <c r="Z22" s="6">
        <v>50735</v>
      </c>
      <c r="AA22" s="6">
        <v>43873</v>
      </c>
      <c r="AB22" s="6">
        <v>44994</v>
      </c>
      <c r="AC22" s="6">
        <v>34315</v>
      </c>
      <c r="AD22" s="6">
        <v>42435</v>
      </c>
      <c r="AE22" s="6">
        <v>47970</v>
      </c>
    </row>
    <row r="23" spans="1:31" ht="11.35" customHeight="1" x14ac:dyDescent="0.45">
      <c r="A23" s="5" t="s">
        <v>55</v>
      </c>
      <c r="B23" s="9">
        <v>37.39</v>
      </c>
      <c r="C23" s="9">
        <v>39.65</v>
      </c>
      <c r="D23" s="9">
        <v>38.79</v>
      </c>
      <c r="E23" s="9">
        <v>45.06</v>
      </c>
      <c r="F23" s="9">
        <v>50.35</v>
      </c>
      <c r="G23" s="9">
        <v>70.569999999999993</v>
      </c>
      <c r="H23" s="9">
        <v>103.66</v>
      </c>
      <c r="I23" s="9">
        <v>110.08</v>
      </c>
      <c r="J23" s="9">
        <v>226.76</v>
      </c>
      <c r="K23" s="9">
        <v>264.35000000000002</v>
      </c>
      <c r="L23" s="9">
        <v>283.49</v>
      </c>
      <c r="M23" s="9">
        <v>290.41000000000003</v>
      </c>
      <c r="N23" s="9">
        <v>299.45</v>
      </c>
      <c r="O23" s="9">
        <v>304.8</v>
      </c>
      <c r="P23" s="9">
        <v>305.2</v>
      </c>
      <c r="Q23" s="7">
        <v>352</v>
      </c>
      <c r="R23" s="7">
        <v>384</v>
      </c>
      <c r="S23" s="9">
        <v>363.2</v>
      </c>
      <c r="T23" s="9">
        <v>380.9</v>
      </c>
      <c r="U23" s="9">
        <v>415.3</v>
      </c>
      <c r="V23" s="9">
        <v>428.5</v>
      </c>
      <c r="W23" s="9">
        <v>436.9</v>
      </c>
      <c r="X23" s="9">
        <v>474.4</v>
      </c>
      <c r="Y23" s="9">
        <v>481.8</v>
      </c>
      <c r="Z23" s="7">
        <v>461</v>
      </c>
      <c r="AA23" s="9">
        <v>400.6</v>
      </c>
      <c r="AB23" s="9">
        <v>459.2</v>
      </c>
      <c r="AC23" s="9">
        <v>448.8</v>
      </c>
      <c r="AD23" s="9">
        <v>481.7</v>
      </c>
      <c r="AE23" s="9">
        <v>517.4</v>
      </c>
    </row>
    <row r="24" spans="1:31" ht="11.35" customHeight="1" x14ac:dyDescent="0.45">
      <c r="A24" s="5" t="s">
        <v>56</v>
      </c>
      <c r="B24" s="8">
        <v>38.54</v>
      </c>
      <c r="C24" s="8">
        <v>68.42</v>
      </c>
      <c r="D24" s="8">
        <v>98.7</v>
      </c>
      <c r="E24" s="8">
        <v>159.88999999999999</v>
      </c>
      <c r="F24" s="8">
        <v>140.15</v>
      </c>
      <c r="G24" s="8">
        <v>156.46</v>
      </c>
      <c r="H24" s="8">
        <v>153.57</v>
      </c>
      <c r="I24" s="8">
        <v>174.27</v>
      </c>
      <c r="J24" s="8">
        <v>197.21</v>
      </c>
      <c r="K24" s="8">
        <v>238.44</v>
      </c>
      <c r="L24" s="8">
        <v>290.81</v>
      </c>
      <c r="M24" s="8">
        <v>319.70999999999998</v>
      </c>
      <c r="N24" s="8">
        <v>388.8</v>
      </c>
      <c r="O24" s="8">
        <v>440.27</v>
      </c>
      <c r="P24" s="8">
        <v>446.54</v>
      </c>
      <c r="Q24" s="8">
        <v>456.62</v>
      </c>
      <c r="R24" s="8">
        <v>499.46</v>
      </c>
      <c r="S24" s="8">
        <v>548.26</v>
      </c>
      <c r="T24" s="8">
        <v>600.41</v>
      </c>
      <c r="U24" s="8">
        <v>672.61</v>
      </c>
      <c r="V24" s="8">
        <v>729.78</v>
      </c>
      <c r="W24" s="8">
        <v>783.56</v>
      </c>
      <c r="X24" s="8">
        <v>807.93</v>
      </c>
      <c r="Y24" s="8">
        <v>844.27</v>
      </c>
      <c r="Z24" s="8">
        <v>799.41</v>
      </c>
      <c r="AA24" s="8">
        <v>812.48</v>
      </c>
      <c r="AB24" s="8">
        <v>799.15</v>
      </c>
      <c r="AC24" s="8">
        <v>688.32</v>
      </c>
      <c r="AD24" s="8">
        <v>758.79</v>
      </c>
      <c r="AE24" s="8">
        <v>810.64</v>
      </c>
    </row>
    <row r="25" spans="1:31" ht="11.35" customHeight="1" x14ac:dyDescent="0.45">
      <c r="A25" s="5" t="s">
        <v>57</v>
      </c>
      <c r="B25" s="9">
        <v>56.42</v>
      </c>
      <c r="C25" s="9">
        <v>73.44</v>
      </c>
      <c r="D25" s="9">
        <v>113.11</v>
      </c>
      <c r="E25" s="9">
        <v>173.33</v>
      </c>
      <c r="F25" s="9">
        <v>220.09</v>
      </c>
      <c r="G25" s="9">
        <v>216.91</v>
      </c>
      <c r="H25" s="9">
        <v>249.9</v>
      </c>
      <c r="I25" s="9">
        <v>303.27</v>
      </c>
      <c r="J25" s="9">
        <v>328.55</v>
      </c>
      <c r="K25" s="9">
        <v>332.91</v>
      </c>
      <c r="L25" s="9">
        <v>364.36</v>
      </c>
      <c r="M25" s="9">
        <v>393.87</v>
      </c>
      <c r="N25" s="9">
        <v>459.35</v>
      </c>
      <c r="O25" s="9">
        <v>498.12</v>
      </c>
      <c r="P25" s="9">
        <v>513.13</v>
      </c>
      <c r="Q25" s="9">
        <v>492.23</v>
      </c>
      <c r="R25" s="9">
        <v>497.11</v>
      </c>
      <c r="S25" s="9">
        <v>521.99</v>
      </c>
      <c r="T25" s="9">
        <v>553.97</v>
      </c>
      <c r="U25" s="9">
        <v>603.99</v>
      </c>
      <c r="V25" s="9">
        <v>640.29</v>
      </c>
      <c r="W25" s="9">
        <v>705.66</v>
      </c>
      <c r="X25" s="9">
        <v>752.82</v>
      </c>
      <c r="Y25" s="9">
        <v>840.93</v>
      </c>
      <c r="Z25" s="9">
        <v>917.18</v>
      </c>
      <c r="AA25" s="9">
        <v>951.25</v>
      </c>
      <c r="AB25" s="9">
        <v>1007.98</v>
      </c>
      <c r="AC25" s="9">
        <v>959.71</v>
      </c>
      <c r="AD25" s="9">
        <v>1014.52</v>
      </c>
      <c r="AE25" s="9">
        <v>1173.8499999999999</v>
      </c>
    </row>
    <row r="26" spans="1:31" ht="11.35" customHeight="1" x14ac:dyDescent="0.45">
      <c r="A26" s="5" t="s">
        <v>58</v>
      </c>
      <c r="B26" s="8">
        <v>445.98</v>
      </c>
      <c r="C26" s="8">
        <v>450.65</v>
      </c>
      <c r="D26" s="8">
        <v>460.86</v>
      </c>
      <c r="E26" s="8">
        <v>482.29</v>
      </c>
      <c r="F26" s="8">
        <v>531.34</v>
      </c>
      <c r="G26" s="8">
        <v>583.36</v>
      </c>
      <c r="H26" s="8">
        <v>607.54999999999995</v>
      </c>
      <c r="I26" s="8">
        <v>634.45000000000005</v>
      </c>
      <c r="J26" s="8">
        <v>688.26</v>
      </c>
      <c r="K26" s="8">
        <v>806.95</v>
      </c>
      <c r="L26" s="8">
        <v>859.85</v>
      </c>
      <c r="M26" s="8">
        <v>854.64</v>
      </c>
      <c r="N26" s="8">
        <v>886.71</v>
      </c>
      <c r="O26" s="8">
        <v>917.94</v>
      </c>
      <c r="P26" s="8">
        <v>857.32</v>
      </c>
      <c r="Q26" s="8">
        <v>886.7</v>
      </c>
      <c r="R26" s="6">
        <v>950</v>
      </c>
      <c r="S26" s="8">
        <v>968.06</v>
      </c>
      <c r="T26" s="8">
        <v>932.01</v>
      </c>
      <c r="U26" s="8">
        <v>903.9</v>
      </c>
      <c r="V26" s="8">
        <v>870.24</v>
      </c>
      <c r="W26" s="8">
        <v>851.64</v>
      </c>
      <c r="X26" s="8">
        <v>874.98</v>
      </c>
      <c r="Y26" s="8">
        <v>939.16</v>
      </c>
      <c r="Z26" s="8">
        <v>1008.52</v>
      </c>
      <c r="AA26" s="8">
        <v>815.45</v>
      </c>
      <c r="AB26" s="8">
        <v>979.42</v>
      </c>
      <c r="AC26" s="8">
        <v>870.97</v>
      </c>
      <c r="AD26" s="8">
        <v>938.35</v>
      </c>
      <c r="AE26" s="8">
        <v>935.22</v>
      </c>
    </row>
    <row r="27" spans="1:31" ht="11.35" customHeight="1" x14ac:dyDescent="0.45">
      <c r="A27" s="5" t="s">
        <v>59</v>
      </c>
      <c r="B27" s="9">
        <v>808.85</v>
      </c>
      <c r="C27" s="9">
        <v>792.97</v>
      </c>
      <c r="D27" s="9">
        <v>903.6</v>
      </c>
      <c r="E27" s="9">
        <v>1174.2</v>
      </c>
      <c r="F27" s="9">
        <v>1260.51</v>
      </c>
      <c r="G27" s="9">
        <v>1223.9100000000001</v>
      </c>
      <c r="H27" s="9">
        <v>1315.19</v>
      </c>
      <c r="I27" s="9">
        <v>1524.42</v>
      </c>
      <c r="J27" s="9">
        <v>1480.45</v>
      </c>
      <c r="K27" s="9">
        <v>1560.44</v>
      </c>
      <c r="L27" s="9">
        <v>1885.08</v>
      </c>
      <c r="M27" s="9">
        <v>1954.29</v>
      </c>
      <c r="N27" s="9">
        <v>2039.94</v>
      </c>
      <c r="O27" s="9">
        <v>2126.54</v>
      </c>
      <c r="P27" s="9">
        <v>1887.28</v>
      </c>
      <c r="Q27" s="9">
        <v>2069.9899999999998</v>
      </c>
      <c r="R27" s="9">
        <v>2032.75</v>
      </c>
      <c r="S27" s="9">
        <v>1896.74</v>
      </c>
      <c r="T27" s="9">
        <v>1880.34</v>
      </c>
      <c r="U27" s="9">
        <v>1944.14</v>
      </c>
      <c r="V27" s="9">
        <v>2096.6799999999998</v>
      </c>
      <c r="W27" s="9">
        <v>2238.84</v>
      </c>
      <c r="X27" s="9">
        <v>2325.75</v>
      </c>
      <c r="Y27" s="9">
        <v>2382.25</v>
      </c>
      <c r="Z27" s="9">
        <v>2565.73</v>
      </c>
      <c r="AA27" s="9">
        <v>2328.2800000000002</v>
      </c>
      <c r="AB27" s="9">
        <v>2404.04</v>
      </c>
      <c r="AC27" s="9">
        <v>2378.64</v>
      </c>
      <c r="AD27" s="9">
        <v>3336.89</v>
      </c>
      <c r="AE27" s="9">
        <v>3183.26</v>
      </c>
    </row>
    <row r="28" spans="1:31" ht="11.35" customHeight="1" x14ac:dyDescent="0.45">
      <c r="A28" s="5" t="s">
        <v>60</v>
      </c>
      <c r="B28" s="8">
        <v>23.43</v>
      </c>
      <c r="C28" s="8">
        <v>23.64</v>
      </c>
      <c r="D28" s="8">
        <v>40.47</v>
      </c>
      <c r="E28" s="8">
        <v>54.25</v>
      </c>
      <c r="F28" s="8">
        <v>58.35</v>
      </c>
      <c r="G28" s="8">
        <v>58.57</v>
      </c>
      <c r="H28" s="8">
        <v>65.97</v>
      </c>
      <c r="I28" s="8">
        <v>61.45</v>
      </c>
      <c r="J28" s="8">
        <v>56.29</v>
      </c>
      <c r="K28" s="8">
        <v>56.47</v>
      </c>
      <c r="L28" s="8">
        <v>62.21</v>
      </c>
      <c r="M28" s="8">
        <v>66.900000000000006</v>
      </c>
      <c r="N28" s="8">
        <v>97.58</v>
      </c>
      <c r="O28" s="8">
        <v>86.22</v>
      </c>
      <c r="P28" s="8">
        <v>86.62</v>
      </c>
      <c r="Q28" s="8">
        <v>92.72</v>
      </c>
      <c r="R28" s="8">
        <v>107.35</v>
      </c>
      <c r="S28" s="8">
        <v>108.35</v>
      </c>
      <c r="T28" s="8">
        <v>106.73</v>
      </c>
      <c r="U28" s="8">
        <v>129.49</v>
      </c>
      <c r="V28" s="8">
        <v>135.66</v>
      </c>
      <c r="W28" s="8">
        <v>146.81</v>
      </c>
      <c r="X28" s="8">
        <v>154.52000000000001</v>
      </c>
      <c r="Y28" s="8">
        <v>158.72</v>
      </c>
      <c r="Z28" s="8">
        <v>178.63</v>
      </c>
      <c r="AA28" s="8">
        <v>141.59</v>
      </c>
      <c r="AB28" s="8">
        <v>137.55000000000001</v>
      </c>
      <c r="AC28" s="8">
        <v>144.74</v>
      </c>
      <c r="AD28" s="8">
        <v>151.18</v>
      </c>
      <c r="AE28" s="8">
        <v>156.21</v>
      </c>
    </row>
    <row r="29" spans="1:31" ht="11.35" customHeight="1" x14ac:dyDescent="0.45">
      <c r="A29" s="5" t="s">
        <v>61</v>
      </c>
      <c r="B29" s="9">
        <v>5245.44</v>
      </c>
      <c r="C29" s="9">
        <v>5699.46</v>
      </c>
      <c r="D29" s="9">
        <v>6264.83</v>
      </c>
      <c r="E29" s="9">
        <v>6564.47</v>
      </c>
      <c r="F29" s="7">
        <v>7271</v>
      </c>
      <c r="G29" s="7">
        <v>7745</v>
      </c>
      <c r="H29" s="7">
        <v>9162</v>
      </c>
      <c r="I29" s="7">
        <v>9289</v>
      </c>
      <c r="J29" s="7">
        <v>9782</v>
      </c>
      <c r="K29" s="7">
        <v>10673</v>
      </c>
      <c r="L29" s="7">
        <v>11546</v>
      </c>
      <c r="M29" s="7">
        <v>12308</v>
      </c>
      <c r="N29" s="7">
        <v>11776</v>
      </c>
      <c r="O29" s="7">
        <v>13622</v>
      </c>
      <c r="P29" s="7">
        <v>13899</v>
      </c>
      <c r="Q29" s="7">
        <v>14337</v>
      </c>
      <c r="R29" s="7">
        <v>14320</v>
      </c>
      <c r="S29" s="7">
        <v>13974</v>
      </c>
      <c r="T29" s="7">
        <v>14975</v>
      </c>
      <c r="U29" s="7">
        <v>15057</v>
      </c>
      <c r="V29" s="7">
        <v>15259</v>
      </c>
      <c r="W29" s="7">
        <v>15855</v>
      </c>
      <c r="X29" s="7">
        <v>16132</v>
      </c>
      <c r="Y29" s="7">
        <v>16930</v>
      </c>
      <c r="Z29" s="7">
        <v>17926</v>
      </c>
      <c r="AA29" s="7">
        <v>17827</v>
      </c>
      <c r="AB29" s="7">
        <v>18988</v>
      </c>
      <c r="AC29" s="7">
        <v>16998</v>
      </c>
      <c r="AD29" s="7">
        <v>17333</v>
      </c>
      <c r="AE29" s="7">
        <v>19733</v>
      </c>
    </row>
    <row r="30" spans="1:31" ht="11.35" customHeight="1" x14ac:dyDescent="0.45">
      <c r="A30" s="5" t="s">
        <v>62</v>
      </c>
      <c r="B30" s="8">
        <v>2591.83</v>
      </c>
      <c r="C30" s="8">
        <v>2659.86</v>
      </c>
      <c r="D30" s="8">
        <v>3049.2</v>
      </c>
      <c r="E30" s="8">
        <v>2970.46</v>
      </c>
      <c r="F30" s="8">
        <v>3100.85</v>
      </c>
      <c r="G30" s="8">
        <v>3300.96</v>
      </c>
      <c r="H30" s="8">
        <v>3627.07</v>
      </c>
      <c r="I30" s="8">
        <v>3821.53</v>
      </c>
      <c r="J30" s="8">
        <v>4078.24</v>
      </c>
      <c r="K30" s="8">
        <v>4324.4799999999996</v>
      </c>
      <c r="L30" s="8">
        <v>4320.1899999999996</v>
      </c>
      <c r="M30" s="8">
        <v>4253.96</v>
      </c>
      <c r="N30" s="8">
        <v>4649.8900000000003</v>
      </c>
      <c r="O30" s="8">
        <v>4687.67</v>
      </c>
      <c r="P30" s="8">
        <v>4549.32</v>
      </c>
      <c r="Q30" s="8">
        <v>4739.55</v>
      </c>
      <c r="R30" s="8">
        <v>5226.04</v>
      </c>
      <c r="S30" s="8">
        <v>5296.55</v>
      </c>
      <c r="T30" s="8">
        <v>5597.61</v>
      </c>
      <c r="U30" s="8">
        <v>5694.95</v>
      </c>
      <c r="V30" s="8">
        <v>6047.88</v>
      </c>
      <c r="W30" s="8">
        <v>6311.6</v>
      </c>
      <c r="X30" s="8">
        <v>6394.43</v>
      </c>
      <c r="Y30" s="8">
        <v>6172.02</v>
      </c>
      <c r="Z30" s="8">
        <v>6181.38</v>
      </c>
      <c r="AA30" s="8">
        <v>5436.89</v>
      </c>
      <c r="AB30" s="8">
        <v>6313.27</v>
      </c>
      <c r="AC30" s="8">
        <v>4942.91</v>
      </c>
      <c r="AD30" s="8">
        <v>5806.41</v>
      </c>
      <c r="AE30" s="8">
        <v>5765.62</v>
      </c>
    </row>
    <row r="31" spans="1:31" ht="11.35" customHeight="1" x14ac:dyDescent="0.45">
      <c r="A31" s="5" t="s">
        <v>63</v>
      </c>
      <c r="B31" s="9">
        <v>1311.15</v>
      </c>
      <c r="C31" s="9">
        <v>1713.18</v>
      </c>
      <c r="D31" s="9">
        <v>1801.1</v>
      </c>
      <c r="E31" s="9">
        <v>2256.61</v>
      </c>
      <c r="F31" s="9">
        <v>2818.99</v>
      </c>
      <c r="G31" s="9">
        <v>3276.28</v>
      </c>
      <c r="H31" s="9">
        <v>3743.36</v>
      </c>
      <c r="I31" s="9">
        <v>4212.42</v>
      </c>
      <c r="J31" s="9">
        <v>4058.78</v>
      </c>
      <c r="K31" s="9">
        <v>4549.13</v>
      </c>
      <c r="L31" s="9">
        <v>5567.24</v>
      </c>
      <c r="M31" s="9">
        <v>6127.98</v>
      </c>
      <c r="N31" s="9">
        <v>7234.72</v>
      </c>
      <c r="O31" s="9">
        <v>8476.69</v>
      </c>
      <c r="P31" s="9">
        <v>7021.91</v>
      </c>
      <c r="Q31" s="9">
        <v>8279.2199999999993</v>
      </c>
      <c r="R31" s="9">
        <v>8475.7099999999991</v>
      </c>
      <c r="S31" s="9">
        <v>8638.1299999999992</v>
      </c>
      <c r="T31" s="9">
        <v>8400.24</v>
      </c>
      <c r="U31" s="9">
        <v>9107.86</v>
      </c>
      <c r="V31" s="9">
        <v>9764.82</v>
      </c>
      <c r="W31" s="9">
        <v>9996.1</v>
      </c>
      <c r="X31" s="9">
        <v>10889.12</v>
      </c>
      <c r="Y31" s="9">
        <v>11788.81</v>
      </c>
      <c r="Z31" s="9">
        <v>11787.51</v>
      </c>
      <c r="AA31" s="9">
        <v>11784.15</v>
      </c>
      <c r="AB31" s="9">
        <v>15204.59</v>
      </c>
      <c r="AC31" s="9">
        <v>16752.310000000001</v>
      </c>
      <c r="AD31" s="9">
        <v>23794.36</v>
      </c>
      <c r="AE31" s="9">
        <v>23067.72</v>
      </c>
    </row>
    <row r="32" spans="1:31" ht="11.35" customHeight="1" x14ac:dyDescent="0.45">
      <c r="A32" s="5" t="s">
        <v>64</v>
      </c>
      <c r="B32" s="8">
        <v>2270.2199999999998</v>
      </c>
      <c r="C32" s="8">
        <v>2375.06</v>
      </c>
      <c r="D32" s="8">
        <v>2331.87</v>
      </c>
      <c r="E32" s="8">
        <v>2574.2199999999998</v>
      </c>
      <c r="F32" s="8">
        <v>2533.48</v>
      </c>
      <c r="G32" s="8">
        <v>1977.63</v>
      </c>
      <c r="H32" s="8">
        <v>2416.31</v>
      </c>
      <c r="I32" s="8">
        <v>2900.71</v>
      </c>
      <c r="J32" s="8">
        <v>3084.72</v>
      </c>
      <c r="K32" s="8">
        <v>3139.02</v>
      </c>
      <c r="L32" s="8">
        <v>3159.61</v>
      </c>
      <c r="M32" s="8">
        <v>3215.6</v>
      </c>
      <c r="N32" s="8">
        <v>3364.82</v>
      </c>
      <c r="O32" s="8">
        <v>3274.76</v>
      </c>
      <c r="P32" s="8">
        <v>3218.66</v>
      </c>
      <c r="Q32" s="8">
        <v>3176.66</v>
      </c>
      <c r="R32" s="8">
        <v>3039.38</v>
      </c>
      <c r="S32" s="8">
        <v>2830.72</v>
      </c>
      <c r="T32" s="8">
        <v>2807.69</v>
      </c>
      <c r="U32" s="8">
        <v>2903.54</v>
      </c>
      <c r="V32" s="8">
        <v>3172.24</v>
      </c>
      <c r="W32" s="8">
        <v>3552.38</v>
      </c>
      <c r="X32" s="8">
        <v>3612.54</v>
      </c>
      <c r="Y32" s="8">
        <v>3682.77</v>
      </c>
      <c r="Z32" s="8">
        <v>3944.78</v>
      </c>
      <c r="AA32" s="8">
        <v>3598.28</v>
      </c>
      <c r="AB32" s="8">
        <v>3848.81</v>
      </c>
      <c r="AC32" s="8">
        <v>3349.24</v>
      </c>
      <c r="AD32" s="8">
        <v>3969.53</v>
      </c>
      <c r="AE32" s="8">
        <v>4420.71</v>
      </c>
    </row>
    <row r="33" spans="1:31" ht="11.35" customHeight="1" x14ac:dyDescent="0.45">
      <c r="A33" s="5" t="s">
        <v>65</v>
      </c>
      <c r="B33" s="9">
        <v>403.46</v>
      </c>
      <c r="C33" s="9">
        <v>403.88</v>
      </c>
      <c r="D33" s="9">
        <v>727.8</v>
      </c>
      <c r="E33" s="9">
        <v>944.82</v>
      </c>
      <c r="F33" s="9">
        <v>1160.05</v>
      </c>
      <c r="G33" s="9">
        <v>1217.75</v>
      </c>
      <c r="H33" s="9">
        <v>871.83</v>
      </c>
      <c r="I33" s="9">
        <v>843.72</v>
      </c>
      <c r="J33" s="9">
        <v>1058.24</v>
      </c>
      <c r="K33" s="9">
        <v>1312.61</v>
      </c>
      <c r="L33" s="9">
        <v>1464.72</v>
      </c>
      <c r="M33" s="9">
        <v>1665.55</v>
      </c>
      <c r="N33" s="9">
        <v>2110.04</v>
      </c>
      <c r="O33" s="9">
        <v>1969.15</v>
      </c>
      <c r="P33" s="9">
        <v>1905.35</v>
      </c>
      <c r="Q33" s="9">
        <v>2235.5300000000002</v>
      </c>
      <c r="R33" s="9">
        <v>2247.69</v>
      </c>
      <c r="S33" s="9">
        <v>2302.83</v>
      </c>
      <c r="T33" s="9">
        <v>2548.5</v>
      </c>
      <c r="U33" s="9">
        <v>3183.83</v>
      </c>
      <c r="V33" s="9">
        <v>3540.6</v>
      </c>
      <c r="W33" s="9">
        <v>3674.06</v>
      </c>
      <c r="X33" s="9">
        <v>3372.18</v>
      </c>
      <c r="Y33" s="9">
        <v>3743.04</v>
      </c>
      <c r="Z33" s="9">
        <v>4408.93</v>
      </c>
      <c r="AA33" s="9">
        <v>3878.68</v>
      </c>
      <c r="AB33" s="9">
        <v>5481.17</v>
      </c>
      <c r="AC33" s="9">
        <v>10154.02</v>
      </c>
      <c r="AD33" s="9">
        <v>7898.38</v>
      </c>
      <c r="AE33" s="9">
        <v>8060.39</v>
      </c>
    </row>
    <row r="34" spans="1:31" ht="11.35" customHeight="1" x14ac:dyDescent="0.45">
      <c r="A34" s="5" t="s">
        <v>66</v>
      </c>
      <c r="B34" s="8">
        <v>497.39</v>
      </c>
      <c r="C34" s="8">
        <v>549.67999999999995</v>
      </c>
      <c r="D34" s="8">
        <v>620.13</v>
      </c>
      <c r="E34" s="8">
        <v>748.9</v>
      </c>
      <c r="F34" s="8">
        <v>664.64</v>
      </c>
      <c r="G34" s="8">
        <v>506.26</v>
      </c>
      <c r="H34" s="8">
        <v>604.21</v>
      </c>
      <c r="I34" s="8">
        <v>644.62</v>
      </c>
      <c r="J34" s="8">
        <v>655.32000000000005</v>
      </c>
      <c r="K34" s="8">
        <v>695.61</v>
      </c>
      <c r="L34" s="8">
        <v>701.35</v>
      </c>
      <c r="M34" s="8">
        <v>720.93</v>
      </c>
      <c r="N34" s="8">
        <v>799.23</v>
      </c>
      <c r="O34" s="8">
        <v>871.98</v>
      </c>
      <c r="P34" s="8">
        <v>1097.42</v>
      </c>
      <c r="Q34" s="8">
        <v>1201.55</v>
      </c>
      <c r="R34" s="8">
        <v>1161.21</v>
      </c>
      <c r="S34" s="8">
        <v>1233.9100000000001</v>
      </c>
      <c r="T34" s="8">
        <v>1319.82</v>
      </c>
      <c r="U34" s="8">
        <v>1352.53</v>
      </c>
      <c r="V34" s="8">
        <v>1455.88</v>
      </c>
      <c r="W34" s="8">
        <v>1533.15</v>
      </c>
      <c r="X34" s="8">
        <v>1556.96</v>
      </c>
      <c r="Y34" s="8">
        <v>1536.57</v>
      </c>
      <c r="Z34" s="8">
        <v>1540.76</v>
      </c>
      <c r="AA34" s="8">
        <v>1306.32</v>
      </c>
      <c r="AB34" s="8">
        <v>1441.45</v>
      </c>
      <c r="AC34" s="8">
        <v>1401.18</v>
      </c>
      <c r="AD34" s="8">
        <v>1529.01</v>
      </c>
      <c r="AE34" s="8">
        <v>1639.26</v>
      </c>
    </row>
    <row r="35" spans="1:31" ht="11.35" customHeight="1" x14ac:dyDescent="0.45">
      <c r="A35" s="5" t="s">
        <v>67</v>
      </c>
      <c r="B35" s="9">
        <v>313.11</v>
      </c>
      <c r="C35" s="9">
        <v>313.41000000000003</v>
      </c>
      <c r="D35" s="9">
        <v>343.5</v>
      </c>
      <c r="E35" s="9">
        <v>337.95</v>
      </c>
      <c r="F35" s="9">
        <v>341.39</v>
      </c>
      <c r="G35" s="9">
        <v>436.04</v>
      </c>
      <c r="H35" s="9">
        <v>405.39</v>
      </c>
      <c r="I35" s="9">
        <v>491.15</v>
      </c>
      <c r="J35" s="9">
        <v>634.89</v>
      </c>
      <c r="K35" s="9">
        <v>762.55</v>
      </c>
      <c r="L35" s="9">
        <v>820.47</v>
      </c>
      <c r="M35" s="9">
        <v>890.2</v>
      </c>
      <c r="N35" s="9">
        <v>1005.5</v>
      </c>
      <c r="O35" s="9">
        <v>1161.6099999999999</v>
      </c>
      <c r="P35" s="9">
        <v>1073.8</v>
      </c>
      <c r="Q35" s="9">
        <v>1228.8800000000001</v>
      </c>
      <c r="R35" s="9">
        <v>1524.9</v>
      </c>
      <c r="S35" s="9">
        <v>1543.64</v>
      </c>
      <c r="T35" s="9">
        <v>1642.28</v>
      </c>
      <c r="U35" s="9">
        <v>1693.76</v>
      </c>
      <c r="V35" s="9">
        <v>1762.18</v>
      </c>
      <c r="W35" s="9">
        <v>1773.7</v>
      </c>
      <c r="X35" s="9">
        <v>1897.15</v>
      </c>
      <c r="Y35" s="9">
        <v>1965.02</v>
      </c>
      <c r="Z35" s="9">
        <v>2099.75</v>
      </c>
      <c r="AA35" s="9">
        <v>2068.2199999999998</v>
      </c>
      <c r="AB35" s="9">
        <v>2153.4</v>
      </c>
      <c r="AC35" s="9">
        <v>2100.9299999999998</v>
      </c>
      <c r="AD35" s="9">
        <v>2440.14</v>
      </c>
      <c r="AE35" s="9">
        <v>2256.9299999999998</v>
      </c>
    </row>
    <row r="36" spans="1:31" ht="11.35" customHeight="1" x14ac:dyDescent="0.45">
      <c r="A36" s="5" t="s">
        <v>68</v>
      </c>
      <c r="B36" s="8">
        <v>2135.1799999999998</v>
      </c>
      <c r="C36" s="8">
        <v>2153.58</v>
      </c>
      <c r="D36" s="8">
        <v>2510.48</v>
      </c>
      <c r="E36" s="8">
        <v>2541.2800000000002</v>
      </c>
      <c r="F36" s="6">
        <v>2709</v>
      </c>
      <c r="G36" s="6">
        <v>2629</v>
      </c>
      <c r="H36" s="6">
        <v>2722</v>
      </c>
      <c r="I36" s="6">
        <v>2851</v>
      </c>
      <c r="J36" s="6">
        <v>2882</v>
      </c>
      <c r="K36" s="6">
        <v>2956</v>
      </c>
      <c r="L36" s="6">
        <v>2927</v>
      </c>
      <c r="M36" s="6">
        <v>2986</v>
      </c>
      <c r="N36" s="6">
        <v>2961</v>
      </c>
      <c r="O36" s="6">
        <v>3215</v>
      </c>
      <c r="P36" s="6">
        <v>3102</v>
      </c>
      <c r="Q36" s="6">
        <v>3222</v>
      </c>
      <c r="R36" s="6">
        <v>3928</v>
      </c>
      <c r="S36" s="6">
        <v>4007</v>
      </c>
      <c r="T36" s="6">
        <v>3975</v>
      </c>
      <c r="U36" s="6">
        <v>4001</v>
      </c>
      <c r="V36" s="6">
        <v>4167</v>
      </c>
      <c r="W36" s="6">
        <v>4552</v>
      </c>
      <c r="X36" s="6">
        <v>4454</v>
      </c>
      <c r="Y36" s="6">
        <v>4565</v>
      </c>
      <c r="Z36" s="6">
        <v>4612</v>
      </c>
      <c r="AA36" s="6">
        <v>4526</v>
      </c>
      <c r="AB36" s="6">
        <v>4563</v>
      </c>
      <c r="AC36" s="6">
        <v>4868</v>
      </c>
      <c r="AD36" s="6">
        <v>4665</v>
      </c>
      <c r="AE36" s="6">
        <v>4588</v>
      </c>
    </row>
    <row r="37" spans="1:31" ht="11.35" customHeight="1" x14ac:dyDescent="0.45">
      <c r="A37" s="5" t="s">
        <v>69</v>
      </c>
      <c r="B37" s="9">
        <v>4517.62</v>
      </c>
      <c r="C37" s="9">
        <v>5692.51</v>
      </c>
      <c r="D37" s="9">
        <v>5626.39</v>
      </c>
      <c r="E37" s="9">
        <v>5820.16</v>
      </c>
      <c r="F37" s="9">
        <v>5887.71</v>
      </c>
      <c r="G37" s="9">
        <v>6194.64</v>
      </c>
      <c r="H37" s="9">
        <v>5980.92</v>
      </c>
      <c r="I37" s="9">
        <v>6449.12</v>
      </c>
      <c r="J37" s="9">
        <v>6924.99</v>
      </c>
      <c r="K37" s="9">
        <v>7173.48</v>
      </c>
      <c r="L37" s="9">
        <v>7290.19</v>
      </c>
      <c r="M37" s="9">
        <v>7445.86</v>
      </c>
      <c r="N37" s="9">
        <v>7519.49</v>
      </c>
      <c r="O37" s="9">
        <v>7516.64</v>
      </c>
      <c r="P37" s="9">
        <v>6996.73</v>
      </c>
      <c r="Q37" s="9">
        <v>8121.17</v>
      </c>
      <c r="R37" s="9">
        <v>8171.5</v>
      </c>
      <c r="S37" s="9">
        <v>8384.67</v>
      </c>
      <c r="T37" s="9">
        <v>8231.2900000000009</v>
      </c>
      <c r="U37" s="9">
        <v>7590.48</v>
      </c>
      <c r="V37" s="9">
        <v>7664.62</v>
      </c>
      <c r="W37" s="9">
        <v>8150.79</v>
      </c>
      <c r="X37" s="9">
        <v>7898.31</v>
      </c>
      <c r="Y37" s="9">
        <v>7511.19</v>
      </c>
      <c r="Z37" s="9">
        <v>7408.09</v>
      </c>
      <c r="AA37" s="9">
        <v>7206.53</v>
      </c>
      <c r="AB37" s="9">
        <v>7644.02</v>
      </c>
      <c r="AC37" s="9">
        <v>8100.21</v>
      </c>
      <c r="AD37" s="9">
        <v>8515.52</v>
      </c>
      <c r="AE37" s="9">
        <v>6565.58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37"/>
  <sheetViews>
    <sheetView workbookViewId="0">
      <pane xSplit="1" ySplit="9" topLeftCell="B10" activePane="bottomRight" state="frozen"/>
      <selection pane="topRight"/>
      <selection pane="bottomLeft"/>
      <selection pane="bottomRight" activeCell="F28" sqref="F28"/>
    </sheetView>
  </sheetViews>
  <sheetFormatPr defaultRowHeight="11.35" customHeight="1" x14ac:dyDescent="0.45"/>
  <cols>
    <col min="1" max="1" width="29.86328125" customWidth="1"/>
    <col min="2" max="31" width="9.9296875" customWidth="1"/>
  </cols>
  <sheetData>
    <row r="1" spans="1:31" ht="11.35" customHeight="1" x14ac:dyDescent="0.45">
      <c r="A1" s="2" t="s">
        <v>0</v>
      </c>
    </row>
    <row r="2" spans="1:31" ht="11.35" customHeight="1" x14ac:dyDescent="0.45">
      <c r="A2" s="2" t="s">
        <v>1</v>
      </c>
      <c r="B2" s="1" t="s">
        <v>2</v>
      </c>
    </row>
    <row r="3" spans="1:31" ht="11.35" customHeight="1" x14ac:dyDescent="0.45">
      <c r="A3" s="2" t="s">
        <v>3</v>
      </c>
      <c r="C3" s="2" t="s">
        <v>4</v>
      </c>
    </row>
    <row r="5" spans="1:31" ht="11.35" customHeight="1" x14ac:dyDescent="0.45">
      <c r="A5" s="1" t="s">
        <v>5</v>
      </c>
      <c r="C5" s="2" t="s">
        <v>6</v>
      </c>
    </row>
    <row r="6" spans="1:31" ht="11.35" customHeight="1" x14ac:dyDescent="0.45">
      <c r="A6" s="1" t="s">
        <v>7</v>
      </c>
      <c r="C6" s="2" t="s">
        <v>71</v>
      </c>
    </row>
    <row r="7" spans="1:31" ht="11.35" customHeight="1" x14ac:dyDescent="0.45">
      <c r="A7" s="1" t="s">
        <v>9</v>
      </c>
      <c r="C7" s="2" t="s">
        <v>10</v>
      </c>
    </row>
    <row r="9" spans="1:31" ht="11.35" customHeight="1" x14ac:dyDescent="0.45">
      <c r="A9" s="4" t="s">
        <v>11</v>
      </c>
      <c r="B9" s="3" t="s">
        <v>12</v>
      </c>
      <c r="C9" s="3" t="s">
        <v>13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  <c r="J9" s="3" t="s">
        <v>20</v>
      </c>
      <c r="K9" s="3" t="s">
        <v>21</v>
      </c>
      <c r="L9" s="3" t="s">
        <v>22</v>
      </c>
      <c r="M9" s="3" t="s">
        <v>23</v>
      </c>
      <c r="N9" s="3" t="s">
        <v>24</v>
      </c>
      <c r="O9" s="3" t="s">
        <v>25</v>
      </c>
      <c r="P9" s="3" t="s">
        <v>26</v>
      </c>
      <c r="Q9" s="3" t="s">
        <v>27</v>
      </c>
      <c r="R9" s="3" t="s">
        <v>28</v>
      </c>
      <c r="S9" s="3" t="s">
        <v>29</v>
      </c>
      <c r="T9" s="3" t="s">
        <v>30</v>
      </c>
      <c r="U9" s="3" t="s">
        <v>31</v>
      </c>
      <c r="V9" s="3" t="s">
        <v>32</v>
      </c>
      <c r="W9" s="3" t="s">
        <v>33</v>
      </c>
      <c r="X9" s="3" t="s">
        <v>34</v>
      </c>
      <c r="Y9" s="3" t="s">
        <v>35</v>
      </c>
      <c r="Z9" s="3" t="s">
        <v>36</v>
      </c>
      <c r="AA9" s="3" t="s">
        <v>37</v>
      </c>
      <c r="AB9" s="3" t="s">
        <v>38</v>
      </c>
      <c r="AC9" s="3" t="s">
        <v>39</v>
      </c>
      <c r="AD9" s="3" t="s">
        <v>40</v>
      </c>
      <c r="AE9" s="3" t="s">
        <v>41</v>
      </c>
    </row>
    <row r="10" spans="1:31" ht="11.35" customHeight="1" x14ac:dyDescent="0.45">
      <c r="A10" s="5" t="s">
        <v>42</v>
      </c>
      <c r="B10" s="8">
        <v>32875.160000000003</v>
      </c>
      <c r="C10" s="8">
        <v>35560.1</v>
      </c>
      <c r="D10" s="8">
        <v>35500.089999999997</v>
      </c>
      <c r="E10" s="8">
        <v>38551.660000000003</v>
      </c>
      <c r="F10" s="8">
        <v>40777.449999999997</v>
      </c>
      <c r="G10" s="8">
        <v>40545.64</v>
      </c>
      <c r="H10" s="8">
        <v>41773.760000000002</v>
      </c>
      <c r="I10" s="8">
        <v>42467.79</v>
      </c>
      <c r="J10" s="8">
        <v>43338.55</v>
      </c>
      <c r="K10" s="8">
        <v>48532.6</v>
      </c>
      <c r="L10" s="8">
        <v>52051.46</v>
      </c>
      <c r="M10" s="8">
        <v>54882.11</v>
      </c>
      <c r="N10" s="8">
        <v>57788.3</v>
      </c>
      <c r="O10" s="8">
        <v>56292.98</v>
      </c>
      <c r="P10" s="8">
        <v>50928.11</v>
      </c>
      <c r="Q10" s="8">
        <v>52042.35</v>
      </c>
      <c r="R10" s="8">
        <v>53651.01</v>
      </c>
      <c r="S10" s="8">
        <v>53417.09</v>
      </c>
      <c r="T10" s="8">
        <v>53622.38</v>
      </c>
      <c r="U10" s="8">
        <v>54667.83</v>
      </c>
      <c r="V10" s="8">
        <v>56630.45</v>
      </c>
      <c r="W10" s="8">
        <v>58457.18</v>
      </c>
      <c r="X10" s="8">
        <v>60004.98</v>
      </c>
      <c r="Y10" s="8">
        <v>61993.7</v>
      </c>
      <c r="Z10" s="8">
        <v>63002.5</v>
      </c>
      <c r="AA10" s="8">
        <v>57573.57</v>
      </c>
      <c r="AB10" s="8">
        <v>58967.74</v>
      </c>
      <c r="AC10" s="8">
        <v>59761.82</v>
      </c>
      <c r="AD10" s="8">
        <v>62787.77</v>
      </c>
      <c r="AE10" s="8">
        <v>65543.649999999994</v>
      </c>
    </row>
    <row r="11" spans="1:31" ht="11.35" customHeight="1" x14ac:dyDescent="0.45">
      <c r="A11" s="5" t="s">
        <v>43</v>
      </c>
      <c r="B11" s="9">
        <v>1654.01</v>
      </c>
      <c r="C11" s="9">
        <v>1940.9</v>
      </c>
      <c r="D11" s="9">
        <v>1942.39</v>
      </c>
      <c r="E11" s="9">
        <v>1916.26</v>
      </c>
      <c r="F11" s="9">
        <v>2160.1</v>
      </c>
      <c r="G11" s="9">
        <v>2068.3000000000002</v>
      </c>
      <c r="H11" s="9">
        <v>2222.6999999999998</v>
      </c>
      <c r="I11" s="9">
        <v>2274.8000000000002</v>
      </c>
      <c r="J11" s="9">
        <v>2359.6999999999998</v>
      </c>
      <c r="K11" s="9">
        <v>2410.6</v>
      </c>
      <c r="L11" s="7">
        <v>2529</v>
      </c>
      <c r="M11" s="9">
        <v>2479.4</v>
      </c>
      <c r="N11" s="9">
        <v>2584.6999999999998</v>
      </c>
      <c r="O11" s="9">
        <v>2536.5</v>
      </c>
      <c r="P11" s="9">
        <v>2618.1999999999998</v>
      </c>
      <c r="Q11" s="9">
        <v>2662.3</v>
      </c>
      <c r="R11" s="9">
        <v>2888.4</v>
      </c>
      <c r="S11" s="9">
        <v>2799.1</v>
      </c>
      <c r="T11" s="7">
        <v>2843</v>
      </c>
      <c r="U11" s="9">
        <v>2795.8</v>
      </c>
      <c r="V11" s="7">
        <v>2858</v>
      </c>
      <c r="W11" s="9">
        <v>2826.1</v>
      </c>
      <c r="X11" s="9">
        <v>2918.8</v>
      </c>
      <c r="Y11" s="7">
        <v>3018</v>
      </c>
      <c r="Z11" s="9">
        <v>3092.3</v>
      </c>
      <c r="AA11" s="9">
        <v>3043.9</v>
      </c>
      <c r="AB11" s="9">
        <v>3107.2</v>
      </c>
      <c r="AC11" s="9">
        <v>3116.5</v>
      </c>
      <c r="AD11" s="9">
        <v>3352.5</v>
      </c>
      <c r="AE11" s="9">
        <v>3406.4</v>
      </c>
    </row>
    <row r="12" spans="1:31" ht="11.35" customHeight="1" x14ac:dyDescent="0.45">
      <c r="A12" s="5" t="s">
        <v>44</v>
      </c>
      <c r="B12" s="8">
        <v>16.149999999999999</v>
      </c>
      <c r="C12" s="8">
        <v>8.73</v>
      </c>
      <c r="D12" s="8">
        <v>1.7</v>
      </c>
      <c r="E12" s="8">
        <v>13.76</v>
      </c>
      <c r="F12" s="8">
        <v>20.36</v>
      </c>
      <c r="G12" s="8">
        <v>23.55</v>
      </c>
      <c r="H12" s="8">
        <v>23.44</v>
      </c>
      <c r="I12" s="8">
        <v>30.75</v>
      </c>
      <c r="J12" s="8">
        <v>40.07</v>
      </c>
      <c r="K12" s="8">
        <v>42.46</v>
      </c>
      <c r="L12" s="8">
        <v>49.61</v>
      </c>
      <c r="M12" s="8">
        <v>71.12</v>
      </c>
      <c r="N12" s="8">
        <v>89.63</v>
      </c>
      <c r="O12" s="8">
        <v>114.41</v>
      </c>
      <c r="P12" s="8">
        <v>101.18</v>
      </c>
      <c r="Q12" s="8">
        <v>95.87</v>
      </c>
      <c r="R12" s="8">
        <v>90.06</v>
      </c>
      <c r="S12" s="8">
        <v>103.21</v>
      </c>
      <c r="T12" s="8">
        <v>114.51</v>
      </c>
      <c r="U12" s="8">
        <v>121.41</v>
      </c>
      <c r="V12" s="8">
        <v>128.84</v>
      </c>
      <c r="W12" s="8">
        <v>151.11000000000001</v>
      </c>
      <c r="X12" s="8">
        <v>156.75</v>
      </c>
      <c r="Y12" s="8">
        <v>174.26</v>
      </c>
      <c r="Z12" s="8">
        <v>180.57</v>
      </c>
      <c r="AA12" s="8">
        <v>190.46</v>
      </c>
      <c r="AB12" s="8">
        <v>207.66</v>
      </c>
      <c r="AC12" s="8">
        <v>210.69</v>
      </c>
      <c r="AD12" s="8">
        <v>220.31</v>
      </c>
      <c r="AE12" s="8">
        <v>232.92</v>
      </c>
    </row>
    <row r="13" spans="1:31" ht="11.35" customHeight="1" x14ac:dyDescent="0.45">
      <c r="A13" s="5" t="s">
        <v>45</v>
      </c>
      <c r="B13" s="9">
        <v>141.86000000000001</v>
      </c>
      <c r="C13" s="9">
        <v>156.88999999999999</v>
      </c>
      <c r="D13" s="9">
        <v>110.33</v>
      </c>
      <c r="E13" s="9">
        <v>125.19</v>
      </c>
      <c r="F13" s="9">
        <v>149.66</v>
      </c>
      <c r="G13" s="9">
        <v>156.18</v>
      </c>
      <c r="H13" s="9">
        <v>160.06</v>
      </c>
      <c r="I13" s="9">
        <v>184.81</v>
      </c>
      <c r="J13" s="9">
        <v>182.63</v>
      </c>
      <c r="K13" s="9">
        <v>174.85</v>
      </c>
      <c r="L13" s="7">
        <v>183</v>
      </c>
      <c r="M13" s="9">
        <v>209.79</v>
      </c>
      <c r="N13" s="9">
        <v>226.25</v>
      </c>
      <c r="O13" s="9">
        <v>248.26</v>
      </c>
      <c r="P13" s="9">
        <v>198.68</v>
      </c>
      <c r="Q13" s="9">
        <v>214.68</v>
      </c>
      <c r="R13" s="9">
        <v>226.11</v>
      </c>
      <c r="S13" s="9">
        <v>219.33</v>
      </c>
      <c r="T13" s="9">
        <v>216.05</v>
      </c>
      <c r="U13" s="9">
        <v>214.52</v>
      </c>
      <c r="V13" s="9">
        <v>228.78</v>
      </c>
      <c r="W13" s="9">
        <v>237.26</v>
      </c>
      <c r="X13" s="9">
        <v>253.06</v>
      </c>
      <c r="Y13" s="9">
        <v>262.76</v>
      </c>
      <c r="Z13" s="9">
        <v>269.38</v>
      </c>
      <c r="AA13" s="9">
        <v>237.5</v>
      </c>
      <c r="AB13" s="9">
        <v>226.91</v>
      </c>
      <c r="AC13" s="9">
        <v>58.21</v>
      </c>
      <c r="AD13" s="9">
        <v>57.7</v>
      </c>
      <c r="AE13" s="9">
        <v>62.58</v>
      </c>
    </row>
    <row r="14" spans="1:31" ht="11.35" customHeight="1" x14ac:dyDescent="0.45">
      <c r="A14" s="5" t="s">
        <v>46</v>
      </c>
      <c r="B14" s="8">
        <v>2841.84</v>
      </c>
      <c r="C14" s="8">
        <v>2994.51</v>
      </c>
      <c r="D14" s="8">
        <v>3159.6</v>
      </c>
      <c r="E14" s="8">
        <v>3483.42</v>
      </c>
      <c r="F14" s="8">
        <v>3446.68</v>
      </c>
      <c r="G14" s="8">
        <v>3129.76</v>
      </c>
      <c r="H14" s="8">
        <v>2998.75</v>
      </c>
      <c r="I14" s="8">
        <v>3418.72</v>
      </c>
      <c r="J14" s="8">
        <v>3242.18</v>
      </c>
      <c r="K14" s="8">
        <v>3876.1</v>
      </c>
      <c r="L14" s="8">
        <v>4484.3900000000003</v>
      </c>
      <c r="M14" s="8">
        <v>4856.12</v>
      </c>
      <c r="N14" s="8">
        <v>4934.8</v>
      </c>
      <c r="O14" s="8">
        <v>4243.29</v>
      </c>
      <c r="P14" s="8">
        <v>3274.54</v>
      </c>
      <c r="Q14" s="8">
        <v>3520.2</v>
      </c>
      <c r="R14" s="8">
        <v>3487.6</v>
      </c>
      <c r="S14" s="8">
        <v>3430.85</v>
      </c>
      <c r="T14" s="8">
        <v>3810.99</v>
      </c>
      <c r="U14" s="8">
        <v>3885.42</v>
      </c>
      <c r="V14" s="8">
        <v>4198.8999999999996</v>
      </c>
      <c r="W14" s="8">
        <v>4375.13</v>
      </c>
      <c r="X14" s="8">
        <v>4420.28</v>
      </c>
      <c r="Y14" s="8">
        <v>4514.01</v>
      </c>
      <c r="Z14" s="8">
        <v>4441.1000000000004</v>
      </c>
      <c r="AA14" s="8">
        <v>4208.04</v>
      </c>
      <c r="AB14" s="8">
        <v>3934.5</v>
      </c>
      <c r="AC14" s="8">
        <v>3278.25</v>
      </c>
      <c r="AD14" s="8">
        <v>3157.3</v>
      </c>
      <c r="AE14" s="8">
        <v>2654.99</v>
      </c>
    </row>
    <row r="15" spans="1:31" ht="11.35" customHeight="1" x14ac:dyDescent="0.45">
      <c r="A15" s="5" t="s">
        <v>47</v>
      </c>
      <c r="B15" s="9">
        <v>7358.83</v>
      </c>
      <c r="C15" s="9">
        <v>7190.17</v>
      </c>
      <c r="D15" s="9">
        <v>7327.98</v>
      </c>
      <c r="E15" s="9">
        <v>7697.66</v>
      </c>
      <c r="F15" s="7">
        <v>7040</v>
      </c>
      <c r="G15" s="7">
        <v>7010</v>
      </c>
      <c r="H15" s="7">
        <v>8380</v>
      </c>
      <c r="I15" s="7">
        <v>7600</v>
      </c>
      <c r="J15" s="7">
        <v>7340</v>
      </c>
      <c r="K15" s="7">
        <v>7740</v>
      </c>
      <c r="L15" s="7">
        <v>8680</v>
      </c>
      <c r="M15" s="7">
        <v>8940</v>
      </c>
      <c r="N15" s="7">
        <v>8910</v>
      </c>
      <c r="O15" s="7">
        <v>8840</v>
      </c>
      <c r="P15" s="7">
        <v>8200</v>
      </c>
      <c r="Q15" s="7">
        <v>8487</v>
      </c>
      <c r="R15" s="7">
        <v>9381</v>
      </c>
      <c r="S15" s="7">
        <v>9397</v>
      </c>
      <c r="T15" s="7">
        <v>9445</v>
      </c>
      <c r="U15" s="7">
        <v>9490</v>
      </c>
      <c r="V15" s="7">
        <v>9833</v>
      </c>
      <c r="W15" s="7">
        <v>10027</v>
      </c>
      <c r="X15" s="7">
        <v>10065</v>
      </c>
      <c r="Y15" s="7">
        <v>10249</v>
      </c>
      <c r="Z15" s="7">
        <v>10538</v>
      </c>
      <c r="AA15" s="7">
        <v>9876</v>
      </c>
      <c r="AB15" s="7">
        <v>10086</v>
      </c>
      <c r="AC15" s="7">
        <v>10667</v>
      </c>
      <c r="AD15" s="7">
        <v>11024</v>
      </c>
      <c r="AE15" s="7">
        <v>11545</v>
      </c>
    </row>
    <row r="16" spans="1:31" ht="11.35" customHeight="1" x14ac:dyDescent="0.45">
      <c r="A16" s="5" t="s">
        <v>48</v>
      </c>
      <c r="B16" s="8">
        <v>5.61</v>
      </c>
      <c r="C16" s="8">
        <v>9.09</v>
      </c>
      <c r="D16" s="8">
        <v>8.35</v>
      </c>
      <c r="E16" s="8">
        <v>8.4700000000000006</v>
      </c>
      <c r="F16" s="8">
        <v>10.32</v>
      </c>
      <c r="G16" s="8">
        <v>13.05</v>
      </c>
      <c r="H16" s="8">
        <v>14.59</v>
      </c>
      <c r="I16" s="8">
        <v>15.42</v>
      </c>
      <c r="J16" s="8">
        <v>3.8</v>
      </c>
      <c r="K16" s="8">
        <v>7.11</v>
      </c>
      <c r="L16" s="8">
        <v>7.91</v>
      </c>
      <c r="M16" s="8">
        <v>9.31</v>
      </c>
      <c r="N16" s="8">
        <v>9.49</v>
      </c>
      <c r="O16" s="8">
        <v>7.47</v>
      </c>
      <c r="P16" s="8">
        <v>6.42</v>
      </c>
      <c r="Q16" s="8">
        <v>7.45</v>
      </c>
      <c r="R16" s="8">
        <v>9.84</v>
      </c>
      <c r="S16" s="8">
        <v>10.79</v>
      </c>
      <c r="T16" s="8">
        <v>10.94</v>
      </c>
      <c r="U16" s="8">
        <v>11.31</v>
      </c>
      <c r="V16" s="8">
        <v>12.16</v>
      </c>
      <c r="W16" s="8">
        <v>12.53</v>
      </c>
      <c r="X16" s="8">
        <v>13.05</v>
      </c>
      <c r="Y16" s="8">
        <v>13.24</v>
      </c>
      <c r="Z16" s="8">
        <v>13.37</v>
      </c>
      <c r="AA16" s="8">
        <v>11.1</v>
      </c>
      <c r="AB16" s="8">
        <v>12.67</v>
      </c>
      <c r="AC16" s="8">
        <v>12.73</v>
      </c>
      <c r="AD16" s="8">
        <v>12.21</v>
      </c>
      <c r="AE16" s="8">
        <v>12.42</v>
      </c>
    </row>
    <row r="17" spans="1:31" ht="11.35" customHeight="1" x14ac:dyDescent="0.45">
      <c r="A17" s="5" t="s">
        <v>49</v>
      </c>
      <c r="B17" s="9">
        <v>677.45</v>
      </c>
      <c r="C17" s="9">
        <v>810.57</v>
      </c>
      <c r="D17" s="9">
        <v>952.77</v>
      </c>
      <c r="E17" s="9">
        <v>1052.9100000000001</v>
      </c>
      <c r="F17" s="9">
        <v>1271.21</v>
      </c>
      <c r="G17" s="9">
        <v>1483.68</v>
      </c>
      <c r="H17" s="9">
        <v>1342.62</v>
      </c>
      <c r="I17" s="9">
        <v>1387.64</v>
      </c>
      <c r="J17" s="9">
        <v>1493.96</v>
      </c>
      <c r="K17" s="9">
        <v>1708.05</v>
      </c>
      <c r="L17" s="9">
        <v>1960.78</v>
      </c>
      <c r="M17" s="9">
        <v>2185.86</v>
      </c>
      <c r="N17" s="9">
        <v>2515.7600000000002</v>
      </c>
      <c r="O17" s="9">
        <v>2002.52</v>
      </c>
      <c r="P17" s="9">
        <v>1522.71</v>
      </c>
      <c r="Q17" s="9">
        <v>1522.04</v>
      </c>
      <c r="R17" s="9">
        <v>1448.82</v>
      </c>
      <c r="S17" s="9">
        <v>1472.09</v>
      </c>
      <c r="T17" s="9">
        <v>1664.16</v>
      </c>
      <c r="U17" s="9">
        <v>1796.15</v>
      </c>
      <c r="V17" s="9">
        <v>1887.14</v>
      </c>
      <c r="W17" s="9">
        <v>1923.95</v>
      </c>
      <c r="X17" s="9">
        <v>1928.81</v>
      </c>
      <c r="Y17" s="9">
        <v>1917.11</v>
      </c>
      <c r="Z17" s="9">
        <v>1986.75</v>
      </c>
      <c r="AA17" s="9">
        <v>1708.16</v>
      </c>
      <c r="AB17" s="9">
        <v>1737.18</v>
      </c>
      <c r="AC17" s="9">
        <v>1761.67</v>
      </c>
      <c r="AD17" s="9">
        <v>1892.2</v>
      </c>
      <c r="AE17" s="9">
        <v>1999.6</v>
      </c>
    </row>
    <row r="18" spans="1:31" ht="11.35" customHeight="1" x14ac:dyDescent="0.45">
      <c r="A18" s="5" t="s">
        <v>50</v>
      </c>
      <c r="B18" s="8">
        <v>828.85</v>
      </c>
      <c r="C18" s="8">
        <v>973.58</v>
      </c>
      <c r="D18" s="8">
        <v>1039.8</v>
      </c>
      <c r="E18" s="8">
        <v>1185.8699999999999</v>
      </c>
      <c r="F18" s="8">
        <v>1261.49</v>
      </c>
      <c r="G18" s="8">
        <v>1149.9000000000001</v>
      </c>
      <c r="H18" s="6">
        <v>1218</v>
      </c>
      <c r="I18" s="6">
        <v>1480</v>
      </c>
      <c r="J18" s="6">
        <v>1474</v>
      </c>
      <c r="K18" s="6">
        <v>1692</v>
      </c>
      <c r="L18" s="6">
        <v>1696</v>
      </c>
      <c r="M18" s="6">
        <v>1790</v>
      </c>
      <c r="N18" s="6">
        <v>1942</v>
      </c>
      <c r="O18" s="6">
        <v>1930</v>
      </c>
      <c r="P18" s="6">
        <v>1815</v>
      </c>
      <c r="Q18" s="6">
        <v>1524</v>
      </c>
      <c r="R18" s="6">
        <v>1433</v>
      </c>
      <c r="S18" s="6">
        <v>1316</v>
      </c>
      <c r="T18" s="6">
        <v>1275</v>
      </c>
      <c r="U18" s="6">
        <v>1309</v>
      </c>
      <c r="V18" s="6">
        <v>1371</v>
      </c>
      <c r="W18" s="6">
        <v>1390</v>
      </c>
      <c r="X18" s="6">
        <v>1440</v>
      </c>
      <c r="Y18" s="6">
        <v>1455</v>
      </c>
      <c r="Z18" s="6">
        <v>1501</v>
      </c>
      <c r="AA18" s="6">
        <v>1396</v>
      </c>
      <c r="AB18" s="6">
        <v>1475</v>
      </c>
      <c r="AC18" s="6">
        <v>1573</v>
      </c>
      <c r="AD18" s="6">
        <v>1681</v>
      </c>
      <c r="AE18" s="6">
        <v>1653</v>
      </c>
    </row>
    <row r="19" spans="1:31" ht="11.35" customHeight="1" x14ac:dyDescent="0.45">
      <c r="A19" s="5" t="s">
        <v>51</v>
      </c>
      <c r="B19" s="9">
        <v>1807.79</v>
      </c>
      <c r="C19" s="9">
        <v>1885.91</v>
      </c>
      <c r="D19" s="9">
        <v>1874.63</v>
      </c>
      <c r="E19" s="9">
        <v>2222.34</v>
      </c>
      <c r="F19" s="7">
        <v>2593</v>
      </c>
      <c r="G19" s="7">
        <v>2732</v>
      </c>
      <c r="H19" s="7">
        <v>2859</v>
      </c>
      <c r="I19" s="7">
        <v>2922</v>
      </c>
      <c r="J19" s="7">
        <v>3113</v>
      </c>
      <c r="K19" s="7">
        <v>3380</v>
      </c>
      <c r="L19" s="7">
        <v>3818</v>
      </c>
      <c r="M19" s="7">
        <v>4123</v>
      </c>
      <c r="N19" s="7">
        <v>4286</v>
      </c>
      <c r="O19" s="7">
        <v>3490</v>
      </c>
      <c r="P19" s="7">
        <v>3074</v>
      </c>
      <c r="Q19" s="7">
        <v>3003</v>
      </c>
      <c r="R19" s="7">
        <v>2813</v>
      </c>
      <c r="S19" s="7">
        <v>2686</v>
      </c>
      <c r="T19" s="7">
        <v>2676</v>
      </c>
      <c r="U19" s="7">
        <v>2549</v>
      </c>
      <c r="V19" s="7">
        <v>2553</v>
      </c>
      <c r="W19" s="7">
        <v>2666</v>
      </c>
      <c r="X19" s="7">
        <v>2726</v>
      </c>
      <c r="Y19" s="7">
        <v>2865</v>
      </c>
      <c r="Z19" s="7">
        <v>2963</v>
      </c>
      <c r="AA19" s="7">
        <v>2631</v>
      </c>
      <c r="AB19" s="7">
        <v>2821</v>
      </c>
      <c r="AC19" s="7">
        <v>3026</v>
      </c>
      <c r="AD19" s="7">
        <v>3109</v>
      </c>
      <c r="AE19" s="7">
        <v>3223</v>
      </c>
    </row>
    <row r="20" spans="1:31" ht="11.35" customHeight="1" x14ac:dyDescent="0.45">
      <c r="A20" s="5" t="s">
        <v>52</v>
      </c>
      <c r="B20" s="8">
        <v>5028.46</v>
      </c>
      <c r="C20" s="8">
        <v>5491.73</v>
      </c>
      <c r="D20" s="8">
        <v>4888.4799999999996</v>
      </c>
      <c r="E20" s="8">
        <v>5146.17</v>
      </c>
      <c r="F20" s="6">
        <v>4779</v>
      </c>
      <c r="G20" s="6">
        <v>3605</v>
      </c>
      <c r="H20" s="6">
        <v>2666</v>
      </c>
      <c r="I20" s="6">
        <v>2697</v>
      </c>
      <c r="J20" s="6">
        <v>2557</v>
      </c>
      <c r="K20" s="6">
        <v>4506</v>
      </c>
      <c r="L20" s="6">
        <v>4771</v>
      </c>
      <c r="M20" s="6">
        <v>5044</v>
      </c>
      <c r="N20" s="6">
        <v>5379</v>
      </c>
      <c r="O20" s="6">
        <v>5808</v>
      </c>
      <c r="P20" s="6">
        <v>5512</v>
      </c>
      <c r="Q20" s="6">
        <v>5414</v>
      </c>
      <c r="R20" s="6">
        <v>5754</v>
      </c>
      <c r="S20" s="6">
        <v>5983</v>
      </c>
      <c r="T20" s="6">
        <v>5859</v>
      </c>
      <c r="U20" s="6">
        <v>5893</v>
      </c>
      <c r="V20" s="6">
        <v>5873</v>
      </c>
      <c r="W20" s="6">
        <v>5716</v>
      </c>
      <c r="X20" s="6">
        <v>5996</v>
      </c>
      <c r="Y20" s="6">
        <v>6394</v>
      </c>
      <c r="Z20" s="6">
        <v>6402</v>
      </c>
      <c r="AA20" s="6">
        <v>5537</v>
      </c>
      <c r="AB20" s="6">
        <v>5709</v>
      </c>
      <c r="AC20" s="6">
        <v>6026</v>
      </c>
      <c r="AD20" s="6">
        <v>6459</v>
      </c>
      <c r="AE20" s="6">
        <v>7472</v>
      </c>
    </row>
    <row r="21" spans="1:31" ht="11.35" customHeight="1" x14ac:dyDescent="0.45">
      <c r="A21" s="5" t="s">
        <v>53</v>
      </c>
      <c r="B21" s="9">
        <v>25.2</v>
      </c>
      <c r="C21" s="9">
        <v>42.26</v>
      </c>
      <c r="D21" s="9">
        <v>33.17</v>
      </c>
      <c r="E21" s="9">
        <v>49.12</v>
      </c>
      <c r="F21" s="9">
        <v>52.31</v>
      </c>
      <c r="G21" s="9">
        <v>49.05</v>
      </c>
      <c r="H21" s="9">
        <v>104.93</v>
      </c>
      <c r="I21" s="9">
        <v>238.71</v>
      </c>
      <c r="J21" s="9">
        <v>305.07</v>
      </c>
      <c r="K21" s="9">
        <v>350.38</v>
      </c>
      <c r="L21" s="9">
        <v>393.06</v>
      </c>
      <c r="M21" s="9">
        <v>437.97</v>
      </c>
      <c r="N21" s="9">
        <v>475.96</v>
      </c>
      <c r="O21" s="9">
        <v>511.61</v>
      </c>
      <c r="P21" s="9">
        <v>389.04</v>
      </c>
      <c r="Q21" s="9">
        <v>385.91</v>
      </c>
      <c r="R21" s="9">
        <v>382.04</v>
      </c>
      <c r="S21" s="9">
        <v>356.31</v>
      </c>
      <c r="T21" s="9">
        <v>354.96</v>
      </c>
      <c r="U21" s="9">
        <v>376.33</v>
      </c>
      <c r="V21" s="9">
        <v>379.41</v>
      </c>
      <c r="W21" s="9">
        <v>401.57</v>
      </c>
      <c r="X21" s="9">
        <v>443.01</v>
      </c>
      <c r="Y21" s="9">
        <v>428.04</v>
      </c>
      <c r="Z21" s="9">
        <v>442.22</v>
      </c>
      <c r="AA21" s="9">
        <v>371.68</v>
      </c>
      <c r="AB21" s="9">
        <v>387.05</v>
      </c>
      <c r="AC21" s="9">
        <v>413.24</v>
      </c>
      <c r="AD21" s="9">
        <v>479.93</v>
      </c>
      <c r="AE21" s="9">
        <v>530.86</v>
      </c>
    </row>
    <row r="22" spans="1:31" ht="11.35" customHeight="1" x14ac:dyDescent="0.45">
      <c r="A22" s="5" t="s">
        <v>54</v>
      </c>
      <c r="B22" s="8">
        <v>3947.73</v>
      </c>
      <c r="C22" s="8">
        <v>4330.26</v>
      </c>
      <c r="D22" s="8">
        <v>4653.74</v>
      </c>
      <c r="E22" s="8">
        <v>5163.33</v>
      </c>
      <c r="F22" s="6">
        <v>6302</v>
      </c>
      <c r="G22" s="6">
        <v>6700</v>
      </c>
      <c r="H22" s="6">
        <v>7120</v>
      </c>
      <c r="I22" s="6">
        <v>7382</v>
      </c>
      <c r="J22" s="6">
        <v>7899</v>
      </c>
      <c r="K22" s="6">
        <v>7975</v>
      </c>
      <c r="L22" s="6">
        <v>8299</v>
      </c>
      <c r="M22" s="6">
        <v>8687</v>
      </c>
      <c r="N22" s="6">
        <v>9229</v>
      </c>
      <c r="O22" s="6">
        <v>9101</v>
      </c>
      <c r="P22" s="6">
        <v>8763</v>
      </c>
      <c r="Q22" s="6">
        <v>8901</v>
      </c>
      <c r="R22" s="6">
        <v>9392</v>
      </c>
      <c r="S22" s="6">
        <v>9944</v>
      </c>
      <c r="T22" s="6">
        <v>9702</v>
      </c>
      <c r="U22" s="6">
        <v>9671</v>
      </c>
      <c r="V22" s="6">
        <v>9906</v>
      </c>
      <c r="W22" s="6">
        <v>10514</v>
      </c>
      <c r="X22" s="6">
        <v>10492</v>
      </c>
      <c r="Y22" s="6">
        <v>10835</v>
      </c>
      <c r="Z22" s="6">
        <v>11003</v>
      </c>
      <c r="AA22" s="6">
        <v>9926</v>
      </c>
      <c r="AB22" s="6">
        <v>10462</v>
      </c>
      <c r="AC22" s="6">
        <v>10485</v>
      </c>
      <c r="AD22" s="6">
        <v>11250</v>
      </c>
      <c r="AE22" s="6">
        <v>11807</v>
      </c>
    </row>
    <row r="23" spans="1:31" ht="11.35" customHeight="1" x14ac:dyDescent="0.45">
      <c r="A23" s="5" t="s">
        <v>55</v>
      </c>
      <c r="B23" s="9">
        <v>161.35</v>
      </c>
      <c r="C23" s="9">
        <v>160.58000000000001</v>
      </c>
      <c r="D23" s="9">
        <v>149.83000000000001</v>
      </c>
      <c r="E23" s="9">
        <v>164.87</v>
      </c>
      <c r="F23" s="9">
        <v>172.5</v>
      </c>
      <c r="G23" s="9">
        <v>196.21</v>
      </c>
      <c r="H23" s="9">
        <v>214.84</v>
      </c>
      <c r="I23" s="9">
        <v>217.61</v>
      </c>
      <c r="J23" s="9">
        <v>218.54</v>
      </c>
      <c r="K23" s="9">
        <v>241.31</v>
      </c>
      <c r="L23" s="9">
        <v>215.71</v>
      </c>
      <c r="M23" s="9">
        <v>211.94</v>
      </c>
      <c r="N23" s="9">
        <v>252.94</v>
      </c>
      <c r="O23" s="9">
        <v>269.39999999999998</v>
      </c>
      <c r="P23" s="9">
        <v>214.8</v>
      </c>
      <c r="Q23" s="9">
        <v>182.4</v>
      </c>
      <c r="R23" s="9">
        <v>161.5</v>
      </c>
      <c r="S23" s="9">
        <v>137.9</v>
      </c>
      <c r="T23" s="9">
        <v>108.1</v>
      </c>
      <c r="U23" s="9">
        <v>117.9</v>
      </c>
      <c r="V23" s="9">
        <v>114.9</v>
      </c>
      <c r="W23" s="9">
        <v>116.2</v>
      </c>
      <c r="X23" s="9">
        <v>123.1</v>
      </c>
      <c r="Y23" s="9">
        <v>125.6</v>
      </c>
      <c r="Z23" s="9">
        <v>116.3</v>
      </c>
      <c r="AA23" s="9">
        <v>113.5</v>
      </c>
      <c r="AB23" s="9">
        <v>114.4</v>
      </c>
      <c r="AC23" s="9">
        <v>116.5</v>
      </c>
      <c r="AD23" s="9">
        <v>117.6</v>
      </c>
      <c r="AE23" s="9">
        <v>121.2</v>
      </c>
    </row>
    <row r="24" spans="1:31" ht="11.35" customHeight="1" x14ac:dyDescent="0.45">
      <c r="A24" s="5" t="s">
        <v>56</v>
      </c>
      <c r="B24" s="6">
        <v>0</v>
      </c>
      <c r="C24" s="6">
        <v>0</v>
      </c>
      <c r="D24" s="8">
        <v>1.24</v>
      </c>
      <c r="E24" s="8">
        <v>2.46</v>
      </c>
      <c r="F24" s="8">
        <v>3.12</v>
      </c>
      <c r="G24" s="8">
        <v>18.61</v>
      </c>
      <c r="H24" s="8">
        <v>19.23</v>
      </c>
      <c r="I24" s="8">
        <v>24.23</v>
      </c>
      <c r="J24" s="8">
        <v>25.54</v>
      </c>
      <c r="K24" s="8">
        <v>35.97</v>
      </c>
      <c r="L24" s="8">
        <v>40.270000000000003</v>
      </c>
      <c r="M24" s="8">
        <v>49.2</v>
      </c>
      <c r="N24" s="8">
        <v>59.92</v>
      </c>
      <c r="O24" s="8">
        <v>52.64</v>
      </c>
      <c r="P24" s="8">
        <v>40.9</v>
      </c>
      <c r="Q24" s="8">
        <v>60.73</v>
      </c>
      <c r="R24" s="8">
        <v>91.06</v>
      </c>
      <c r="S24" s="8">
        <v>94.2</v>
      </c>
      <c r="T24" s="8">
        <v>102.88</v>
      </c>
      <c r="U24" s="8">
        <v>103.92</v>
      </c>
      <c r="V24" s="8">
        <v>110.87</v>
      </c>
      <c r="W24" s="8">
        <v>115.68</v>
      </c>
      <c r="X24" s="8">
        <v>112.85</v>
      </c>
      <c r="Y24" s="8">
        <v>115.8</v>
      </c>
      <c r="Z24" s="8">
        <v>116.41</v>
      </c>
      <c r="AA24" s="8">
        <v>119.22</v>
      </c>
      <c r="AB24" s="8">
        <v>122.52</v>
      </c>
      <c r="AC24" s="8">
        <v>123.91</v>
      </c>
      <c r="AD24" s="8">
        <v>127.88</v>
      </c>
      <c r="AE24" s="8">
        <v>130.82</v>
      </c>
    </row>
    <row r="25" spans="1:31" ht="11.35" customHeight="1" x14ac:dyDescent="0.45">
      <c r="A25" s="5" t="s">
        <v>57</v>
      </c>
      <c r="B25" s="9">
        <v>37.65</v>
      </c>
      <c r="C25" s="9">
        <v>47.03</v>
      </c>
      <c r="D25" s="9">
        <v>73.599999999999994</v>
      </c>
      <c r="E25" s="9">
        <v>77.25</v>
      </c>
      <c r="F25" s="9">
        <v>70.489999999999995</v>
      </c>
      <c r="G25" s="9">
        <v>82.91</v>
      </c>
      <c r="H25" s="9">
        <v>90.14</v>
      </c>
      <c r="I25" s="9">
        <v>111.12</v>
      </c>
      <c r="J25" s="9">
        <v>122.32</v>
      </c>
      <c r="K25" s="9">
        <v>142.76</v>
      </c>
      <c r="L25" s="9">
        <v>99.97</v>
      </c>
      <c r="M25" s="9">
        <v>22.72</v>
      </c>
      <c r="N25" s="9">
        <v>29.87</v>
      </c>
      <c r="O25" s="9">
        <v>14.6</v>
      </c>
      <c r="P25" s="9">
        <v>11.54</v>
      </c>
      <c r="Q25" s="9">
        <v>12.62</v>
      </c>
      <c r="R25" s="9">
        <v>14.26</v>
      </c>
      <c r="S25" s="9">
        <v>15.39</v>
      </c>
      <c r="T25" s="9">
        <v>30.55</v>
      </c>
      <c r="U25" s="9">
        <v>36.74</v>
      </c>
      <c r="V25" s="9">
        <v>31.73</v>
      </c>
      <c r="W25" s="9">
        <v>33.65</v>
      </c>
      <c r="X25" s="9">
        <v>34.450000000000003</v>
      </c>
      <c r="Y25" s="9">
        <v>38.51</v>
      </c>
      <c r="Z25" s="9">
        <v>38.24</v>
      </c>
      <c r="AA25" s="9">
        <v>52.34</v>
      </c>
      <c r="AB25" s="9">
        <v>68.44</v>
      </c>
      <c r="AC25" s="9">
        <v>68.08</v>
      </c>
      <c r="AD25" s="9">
        <v>76.69</v>
      </c>
      <c r="AE25" s="9">
        <v>79.099999999999994</v>
      </c>
    </row>
    <row r="26" spans="1:31" ht="11.35" customHeight="1" x14ac:dyDescent="0.45">
      <c r="A26" s="5" t="s">
        <v>58</v>
      </c>
      <c r="B26" s="8">
        <v>21.99</v>
      </c>
      <c r="C26" s="8">
        <v>22.28</v>
      </c>
      <c r="D26" s="8">
        <v>22.64</v>
      </c>
      <c r="E26" s="8">
        <v>24.05</v>
      </c>
      <c r="F26" s="8">
        <v>25.92</v>
      </c>
      <c r="G26" s="8">
        <v>26.84</v>
      </c>
      <c r="H26" s="8">
        <v>28.49</v>
      </c>
      <c r="I26" s="8">
        <v>29.19</v>
      </c>
      <c r="J26" s="8">
        <v>29.76</v>
      </c>
      <c r="K26" s="8">
        <v>30.87</v>
      </c>
      <c r="L26" s="8">
        <v>31.64</v>
      </c>
      <c r="M26" s="8">
        <v>36.25</v>
      </c>
      <c r="N26" s="8">
        <v>65.989999999999995</v>
      </c>
      <c r="O26" s="8">
        <v>67.28</v>
      </c>
      <c r="P26" s="8">
        <v>73.16</v>
      </c>
      <c r="Q26" s="8">
        <v>65.92</v>
      </c>
      <c r="R26" s="8">
        <v>63.94</v>
      </c>
      <c r="S26" s="8">
        <v>61.86</v>
      </c>
      <c r="T26" s="8">
        <v>69.73</v>
      </c>
      <c r="U26" s="8">
        <v>69.62</v>
      </c>
      <c r="V26" s="8">
        <v>69.459999999999994</v>
      </c>
      <c r="W26" s="8">
        <v>67.66</v>
      </c>
      <c r="X26" s="8">
        <v>67.48</v>
      </c>
      <c r="Y26" s="8">
        <v>67.930000000000007</v>
      </c>
      <c r="Z26" s="8">
        <v>68.25</v>
      </c>
      <c r="AA26" s="8">
        <v>69.069999999999993</v>
      </c>
      <c r="AB26" s="8">
        <v>69.099999999999994</v>
      </c>
      <c r="AC26" s="8">
        <v>69.44</v>
      </c>
      <c r="AD26" s="8">
        <v>69.58</v>
      </c>
      <c r="AE26" s="8">
        <v>69.7</v>
      </c>
    </row>
    <row r="27" spans="1:31" ht="11.35" customHeight="1" x14ac:dyDescent="0.45">
      <c r="A27" s="5" t="s">
        <v>59</v>
      </c>
      <c r="B27" s="9">
        <v>52.34</v>
      </c>
      <c r="C27" s="9">
        <v>104.05</v>
      </c>
      <c r="D27" s="9">
        <v>121.75</v>
      </c>
      <c r="E27" s="9">
        <v>129.22</v>
      </c>
      <c r="F27" s="9">
        <v>174.98</v>
      </c>
      <c r="G27" s="9">
        <v>205.87</v>
      </c>
      <c r="H27" s="9">
        <v>222.24</v>
      </c>
      <c r="I27" s="9">
        <v>270.52</v>
      </c>
      <c r="J27" s="9">
        <v>338.4</v>
      </c>
      <c r="K27" s="9">
        <v>639.66</v>
      </c>
      <c r="L27" s="9">
        <v>476.96</v>
      </c>
      <c r="M27" s="9">
        <v>531.76</v>
      </c>
      <c r="N27" s="9">
        <v>646.88</v>
      </c>
      <c r="O27" s="9">
        <v>611.54999999999995</v>
      </c>
      <c r="P27" s="9">
        <v>431.78</v>
      </c>
      <c r="Q27" s="9">
        <v>461.37</v>
      </c>
      <c r="R27" s="9">
        <v>471.88</v>
      </c>
      <c r="S27" s="9">
        <v>410.11</v>
      </c>
      <c r="T27" s="9">
        <v>396.78</v>
      </c>
      <c r="U27" s="9">
        <v>392.39</v>
      </c>
      <c r="V27" s="9">
        <v>410.62</v>
      </c>
      <c r="W27" s="9">
        <v>417.56</v>
      </c>
      <c r="X27" s="9">
        <v>441.42</v>
      </c>
      <c r="Y27" s="9">
        <v>448.28</v>
      </c>
      <c r="Z27" s="9">
        <v>458.22</v>
      </c>
      <c r="AA27" s="9">
        <v>411.83</v>
      </c>
      <c r="AB27" s="9">
        <v>432.34</v>
      </c>
      <c r="AC27" s="9">
        <v>487.28</v>
      </c>
      <c r="AD27" s="9">
        <v>591.72</v>
      </c>
      <c r="AE27" s="9">
        <v>588.24</v>
      </c>
    </row>
    <row r="28" spans="1:31" ht="11.35" customHeight="1" x14ac:dyDescent="0.45">
      <c r="A28" s="5" t="s">
        <v>60</v>
      </c>
      <c r="B28" s="8">
        <v>64.17</v>
      </c>
      <c r="C28" s="8">
        <v>64.77</v>
      </c>
      <c r="D28" s="8">
        <v>72.38</v>
      </c>
      <c r="E28" s="8">
        <v>79.319999999999993</v>
      </c>
      <c r="F28" s="8">
        <v>90.29</v>
      </c>
      <c r="G28" s="8">
        <v>96.81</v>
      </c>
      <c r="H28" s="8">
        <v>92.13</v>
      </c>
      <c r="I28" s="8">
        <v>89.53</v>
      </c>
      <c r="J28" s="8">
        <v>94.56</v>
      </c>
      <c r="K28" s="8">
        <v>80.55</v>
      </c>
      <c r="L28" s="8">
        <v>85.24</v>
      </c>
      <c r="M28" s="8">
        <v>92.87</v>
      </c>
      <c r="N28" s="8">
        <v>91.32</v>
      </c>
      <c r="O28" s="8">
        <v>96.59</v>
      </c>
      <c r="P28" s="8">
        <v>94.42</v>
      </c>
      <c r="Q28" s="8">
        <v>87.46</v>
      </c>
      <c r="R28" s="8">
        <v>92.99</v>
      </c>
      <c r="S28" s="8">
        <v>87.18</v>
      </c>
      <c r="T28" s="8">
        <v>86.04</v>
      </c>
      <c r="U28" s="8">
        <v>94.63</v>
      </c>
      <c r="V28" s="8">
        <v>108.59</v>
      </c>
      <c r="W28" s="8">
        <v>112.86</v>
      </c>
      <c r="X28" s="8">
        <v>123.65</v>
      </c>
      <c r="Y28" s="8">
        <v>130.72999999999999</v>
      </c>
      <c r="Z28" s="8">
        <v>136.54</v>
      </c>
      <c r="AA28" s="8">
        <v>122.39</v>
      </c>
      <c r="AB28" s="8">
        <v>108.97</v>
      </c>
      <c r="AC28" s="8">
        <v>110.71</v>
      </c>
      <c r="AD28" s="8">
        <v>129.69999999999999</v>
      </c>
      <c r="AE28" s="8">
        <v>124.41</v>
      </c>
    </row>
    <row r="29" spans="1:31" ht="11.35" customHeight="1" x14ac:dyDescent="0.45">
      <c r="A29" s="5" t="s">
        <v>61</v>
      </c>
      <c r="B29" s="9">
        <v>4238.5600000000004</v>
      </c>
      <c r="C29" s="9">
        <v>4768.43</v>
      </c>
      <c r="D29" s="9">
        <v>4312.12</v>
      </c>
      <c r="E29" s="9">
        <v>4889.6000000000004</v>
      </c>
      <c r="F29" s="7">
        <v>5514</v>
      </c>
      <c r="G29" s="7">
        <v>5717</v>
      </c>
      <c r="H29" s="7">
        <v>5720</v>
      </c>
      <c r="I29" s="7">
        <v>5542</v>
      </c>
      <c r="J29" s="7">
        <v>5841</v>
      </c>
      <c r="K29" s="7">
        <v>6226</v>
      </c>
      <c r="L29" s="7">
        <v>6615</v>
      </c>
      <c r="M29" s="7">
        <v>7223</v>
      </c>
      <c r="N29" s="7">
        <v>7618</v>
      </c>
      <c r="O29" s="7">
        <v>7784</v>
      </c>
      <c r="P29" s="7">
        <v>7022</v>
      </c>
      <c r="Q29" s="7">
        <v>7156</v>
      </c>
      <c r="R29" s="7">
        <v>7032</v>
      </c>
      <c r="S29" s="7">
        <v>6515</v>
      </c>
      <c r="T29" s="7">
        <v>6126</v>
      </c>
      <c r="U29" s="7">
        <v>6555</v>
      </c>
      <c r="V29" s="7">
        <v>7001</v>
      </c>
      <c r="W29" s="7">
        <v>7161</v>
      </c>
      <c r="X29" s="7">
        <v>7678</v>
      </c>
      <c r="Y29" s="7">
        <v>8077</v>
      </c>
      <c r="Z29" s="7">
        <v>8236</v>
      </c>
      <c r="AA29" s="7">
        <v>7429</v>
      </c>
      <c r="AB29" s="7">
        <v>7616</v>
      </c>
      <c r="AC29" s="7">
        <v>7776</v>
      </c>
      <c r="AD29" s="7">
        <v>8431</v>
      </c>
      <c r="AE29" s="7">
        <v>8876</v>
      </c>
    </row>
    <row r="30" spans="1:31" ht="11.35" customHeight="1" x14ac:dyDescent="0.45">
      <c r="A30" s="5" t="s">
        <v>62</v>
      </c>
      <c r="B30" s="8">
        <v>1356.89</v>
      </c>
      <c r="C30" s="8">
        <v>1363.77</v>
      </c>
      <c r="D30" s="8">
        <v>1332.55</v>
      </c>
      <c r="E30" s="8">
        <v>1466.89</v>
      </c>
      <c r="F30" s="8">
        <v>1536.49</v>
      </c>
      <c r="G30" s="8">
        <v>1795.19</v>
      </c>
      <c r="H30" s="8">
        <v>1959.85</v>
      </c>
      <c r="I30" s="8">
        <v>2055.9</v>
      </c>
      <c r="J30" s="8">
        <v>2131.48</v>
      </c>
      <c r="K30" s="8">
        <v>2065.83</v>
      </c>
      <c r="L30" s="8">
        <v>2156.33</v>
      </c>
      <c r="M30" s="8">
        <v>2214.02</v>
      </c>
      <c r="N30" s="8">
        <v>2200.9</v>
      </c>
      <c r="O30" s="8">
        <v>2232.9299999999998</v>
      </c>
      <c r="P30" s="8">
        <v>2254.44</v>
      </c>
      <c r="Q30" s="8">
        <v>2265.1999999999998</v>
      </c>
      <c r="R30" s="8">
        <v>2437.4</v>
      </c>
      <c r="S30" s="8">
        <v>2562.48</v>
      </c>
      <c r="T30" s="8">
        <v>2558.87</v>
      </c>
      <c r="U30" s="8">
        <v>2875.39</v>
      </c>
      <c r="V30" s="8">
        <v>2908.2</v>
      </c>
      <c r="W30" s="8">
        <v>3018.4</v>
      </c>
      <c r="X30" s="8">
        <v>3218.67</v>
      </c>
      <c r="Y30" s="8">
        <v>3294.73</v>
      </c>
      <c r="Z30" s="8">
        <v>3403.78</v>
      </c>
      <c r="AA30" s="8">
        <v>3300.42</v>
      </c>
      <c r="AB30" s="8">
        <v>3379.02</v>
      </c>
      <c r="AC30" s="8">
        <v>3490.49</v>
      </c>
      <c r="AD30" s="8">
        <v>3646.18</v>
      </c>
      <c r="AE30" s="8">
        <v>3722.26</v>
      </c>
    </row>
    <row r="31" spans="1:31" ht="11.35" customHeight="1" x14ac:dyDescent="0.45">
      <c r="A31" s="5" t="s">
        <v>63</v>
      </c>
      <c r="B31" s="9">
        <v>200.6</v>
      </c>
      <c r="C31" s="9">
        <v>280.51</v>
      </c>
      <c r="D31" s="9">
        <v>350.15</v>
      </c>
      <c r="E31" s="9">
        <v>176.94</v>
      </c>
      <c r="F31" s="9">
        <v>199.65</v>
      </c>
      <c r="G31" s="9">
        <v>333.32</v>
      </c>
      <c r="H31" s="9">
        <v>466.49</v>
      </c>
      <c r="I31" s="9">
        <v>511.48</v>
      </c>
      <c r="J31" s="9">
        <v>416.17</v>
      </c>
      <c r="K31" s="9">
        <v>696.3</v>
      </c>
      <c r="L31" s="9">
        <v>691.28</v>
      </c>
      <c r="M31" s="9">
        <v>635.54</v>
      </c>
      <c r="N31" s="9">
        <v>739.75</v>
      </c>
      <c r="O31" s="9">
        <v>916.83</v>
      </c>
      <c r="P31" s="9">
        <v>711.02</v>
      </c>
      <c r="Q31" s="7">
        <v>754</v>
      </c>
      <c r="R31" s="9">
        <v>718.83</v>
      </c>
      <c r="S31" s="9">
        <v>729.56</v>
      </c>
      <c r="T31" s="9">
        <v>763.31</v>
      </c>
      <c r="U31" s="9">
        <v>829.05</v>
      </c>
      <c r="V31" s="9">
        <v>911.79</v>
      </c>
      <c r="W31" s="9">
        <v>965.58</v>
      </c>
      <c r="X31" s="9">
        <v>1063.8900000000001</v>
      </c>
      <c r="Y31" s="9">
        <v>1147.01</v>
      </c>
      <c r="Z31" s="9">
        <v>1185.31</v>
      </c>
      <c r="AA31" s="9">
        <v>954.99</v>
      </c>
      <c r="AB31" s="9">
        <v>1040.04</v>
      </c>
      <c r="AC31" s="9">
        <v>1035.19</v>
      </c>
      <c r="AD31" s="9">
        <v>1239.54</v>
      </c>
      <c r="AE31" s="9">
        <v>1581.59</v>
      </c>
    </row>
    <row r="32" spans="1:31" ht="11.35" customHeight="1" x14ac:dyDescent="0.45">
      <c r="A32" s="5" t="s">
        <v>64</v>
      </c>
      <c r="B32" s="8">
        <v>777.66</v>
      </c>
      <c r="C32" s="8">
        <v>903.41</v>
      </c>
      <c r="D32" s="8">
        <v>946.5</v>
      </c>
      <c r="E32" s="8">
        <v>1125.4000000000001</v>
      </c>
      <c r="F32" s="8">
        <v>1336.73</v>
      </c>
      <c r="G32" s="8">
        <v>1361.89</v>
      </c>
      <c r="H32" s="8">
        <v>1424.45</v>
      </c>
      <c r="I32" s="8">
        <v>1362.32</v>
      </c>
      <c r="J32" s="8">
        <v>1218.17</v>
      </c>
      <c r="K32" s="8">
        <v>1340.94</v>
      </c>
      <c r="L32" s="8">
        <v>1416.47</v>
      </c>
      <c r="M32" s="8">
        <v>1416.17</v>
      </c>
      <c r="N32" s="8">
        <v>1445.7</v>
      </c>
      <c r="O32" s="8">
        <v>1195.02</v>
      </c>
      <c r="P32" s="8">
        <v>1035.4000000000001</v>
      </c>
      <c r="Q32" s="8">
        <v>1150.1600000000001</v>
      </c>
      <c r="R32" s="8">
        <v>1008.3</v>
      </c>
      <c r="S32" s="8">
        <v>812.01</v>
      </c>
      <c r="T32" s="8">
        <v>888.32</v>
      </c>
      <c r="U32" s="8">
        <v>1014.65</v>
      </c>
      <c r="V32" s="8">
        <v>1122.8599999999999</v>
      </c>
      <c r="W32" s="8">
        <v>1251.3599999999999</v>
      </c>
      <c r="X32" s="8">
        <v>1374.47</v>
      </c>
      <c r="Y32" s="8">
        <v>1435.02</v>
      </c>
      <c r="Z32" s="8">
        <v>1458.62</v>
      </c>
      <c r="AA32" s="8">
        <v>1130.4100000000001</v>
      </c>
      <c r="AB32" s="8">
        <v>1127.8499999999999</v>
      </c>
      <c r="AC32" s="8">
        <v>1213.81</v>
      </c>
      <c r="AD32" s="8">
        <v>1307.4100000000001</v>
      </c>
      <c r="AE32" s="8">
        <v>1336.35</v>
      </c>
    </row>
    <row r="33" spans="1:31" ht="11.35" customHeight="1" x14ac:dyDescent="0.45">
      <c r="A33" s="5" t="s">
        <v>65</v>
      </c>
      <c r="B33" s="7">
        <v>0</v>
      </c>
      <c r="C33" s="7">
        <v>0</v>
      </c>
      <c r="D33" s="9">
        <v>21.21</v>
      </c>
      <c r="E33" s="9">
        <v>18.03</v>
      </c>
      <c r="F33" s="9">
        <v>41.54</v>
      </c>
      <c r="G33" s="9">
        <v>24.45</v>
      </c>
      <c r="H33" s="9">
        <v>32.26</v>
      </c>
      <c r="I33" s="9">
        <v>34.51</v>
      </c>
      <c r="J33" s="9">
        <v>35.26</v>
      </c>
      <c r="K33" s="9">
        <v>38.880000000000003</v>
      </c>
      <c r="L33" s="9">
        <v>49.63</v>
      </c>
      <c r="M33" s="9">
        <v>142.52000000000001</v>
      </c>
      <c r="N33" s="9">
        <v>432.25</v>
      </c>
      <c r="O33" s="9">
        <v>503.53</v>
      </c>
      <c r="P33" s="9">
        <v>332.06</v>
      </c>
      <c r="Q33" s="9">
        <v>399.84</v>
      </c>
      <c r="R33" s="9">
        <v>314.19</v>
      </c>
      <c r="S33" s="9">
        <v>351.58</v>
      </c>
      <c r="T33" s="9">
        <v>397.67</v>
      </c>
      <c r="U33" s="9">
        <v>393.52</v>
      </c>
      <c r="V33" s="9">
        <v>370.95</v>
      </c>
      <c r="W33" s="9">
        <v>400.79</v>
      </c>
      <c r="X33" s="9">
        <v>258.23</v>
      </c>
      <c r="Y33" s="9">
        <v>280.89999999999998</v>
      </c>
      <c r="Z33" s="9">
        <v>313.93</v>
      </c>
      <c r="AA33" s="9">
        <v>308.39</v>
      </c>
      <c r="AB33" s="9">
        <v>376.06</v>
      </c>
      <c r="AC33" s="9">
        <v>394.05</v>
      </c>
      <c r="AD33" s="9">
        <v>416.28</v>
      </c>
      <c r="AE33" s="9">
        <v>480.42</v>
      </c>
    </row>
    <row r="34" spans="1:31" ht="11.35" customHeight="1" x14ac:dyDescent="0.45">
      <c r="A34" s="5" t="s">
        <v>66</v>
      </c>
      <c r="B34" s="8">
        <v>163.57</v>
      </c>
      <c r="C34" s="8">
        <v>167.18</v>
      </c>
      <c r="D34" s="8">
        <v>173.42</v>
      </c>
      <c r="E34" s="8">
        <v>210.7</v>
      </c>
      <c r="F34" s="8">
        <v>179.42</v>
      </c>
      <c r="G34" s="8">
        <v>94.06</v>
      </c>
      <c r="H34" s="8">
        <v>100.02</v>
      </c>
      <c r="I34" s="8">
        <v>102.58</v>
      </c>
      <c r="J34" s="8">
        <v>120.38</v>
      </c>
      <c r="K34" s="8">
        <v>139.72</v>
      </c>
      <c r="L34" s="8">
        <v>142.35</v>
      </c>
      <c r="M34" s="6">
        <v>147</v>
      </c>
      <c r="N34" s="8">
        <v>169.39</v>
      </c>
      <c r="O34" s="8">
        <v>176.85</v>
      </c>
      <c r="P34" s="8">
        <v>147.13999999999999</v>
      </c>
      <c r="Q34" s="8">
        <v>146.29</v>
      </c>
      <c r="R34" s="8">
        <v>145.06</v>
      </c>
      <c r="S34" s="8">
        <v>143.83000000000001</v>
      </c>
      <c r="T34" s="8">
        <v>163.61000000000001</v>
      </c>
      <c r="U34" s="8">
        <v>170.55</v>
      </c>
      <c r="V34" s="8">
        <v>177.45</v>
      </c>
      <c r="W34" s="8">
        <v>178.03</v>
      </c>
      <c r="X34" s="8">
        <v>187.87</v>
      </c>
      <c r="Y34" s="8">
        <v>199.04</v>
      </c>
      <c r="Z34" s="8">
        <v>223.32</v>
      </c>
      <c r="AA34" s="8">
        <v>211.58</v>
      </c>
      <c r="AB34" s="8">
        <v>197.05</v>
      </c>
      <c r="AC34" s="8">
        <v>205.42</v>
      </c>
      <c r="AD34" s="8">
        <v>211.83</v>
      </c>
      <c r="AE34" s="8">
        <v>213.89</v>
      </c>
    </row>
    <row r="35" spans="1:31" ht="11.35" customHeight="1" x14ac:dyDescent="0.45">
      <c r="A35" s="5" t="s">
        <v>67</v>
      </c>
      <c r="B35" s="9">
        <v>51.83</v>
      </c>
      <c r="C35" s="9">
        <v>54.44</v>
      </c>
      <c r="D35" s="9">
        <v>59.12</v>
      </c>
      <c r="E35" s="9">
        <v>60.04</v>
      </c>
      <c r="F35" s="9">
        <v>53.25</v>
      </c>
      <c r="G35" s="9">
        <v>65.44</v>
      </c>
      <c r="H35" s="9">
        <v>65.81</v>
      </c>
      <c r="I35" s="9">
        <v>70.14</v>
      </c>
      <c r="J35" s="9">
        <v>72.459999999999994</v>
      </c>
      <c r="K35" s="9">
        <v>76.540000000000006</v>
      </c>
      <c r="L35" s="9">
        <v>89.73</v>
      </c>
      <c r="M35" s="9">
        <v>105.06</v>
      </c>
      <c r="N35" s="9">
        <v>136.34</v>
      </c>
      <c r="O35" s="9">
        <v>159.88</v>
      </c>
      <c r="P35" s="9">
        <v>150.38999999999999</v>
      </c>
      <c r="Q35" s="9">
        <v>153.34</v>
      </c>
      <c r="R35" s="9">
        <v>166.71</v>
      </c>
      <c r="S35" s="9">
        <v>165.83</v>
      </c>
      <c r="T35" s="9">
        <v>198.49</v>
      </c>
      <c r="U35" s="9">
        <v>207.64</v>
      </c>
      <c r="V35" s="9">
        <v>203.9</v>
      </c>
      <c r="W35" s="9">
        <v>213.51</v>
      </c>
      <c r="X35" s="9">
        <v>223.29</v>
      </c>
      <c r="Y35" s="9">
        <v>232.57</v>
      </c>
      <c r="Z35" s="9">
        <v>233.09</v>
      </c>
      <c r="AA35" s="9">
        <v>200.16</v>
      </c>
      <c r="AB35" s="9">
        <v>203.5</v>
      </c>
      <c r="AC35" s="9">
        <v>202.01</v>
      </c>
      <c r="AD35" s="9">
        <v>201.12</v>
      </c>
      <c r="AE35" s="9">
        <v>200.35</v>
      </c>
    </row>
    <row r="36" spans="1:31" ht="11.35" customHeight="1" x14ac:dyDescent="0.45">
      <c r="A36" s="5" t="s">
        <v>68</v>
      </c>
      <c r="B36" s="8">
        <v>770.75</v>
      </c>
      <c r="C36" s="8">
        <v>969.16</v>
      </c>
      <c r="D36" s="8">
        <v>1085.8900000000001</v>
      </c>
      <c r="E36" s="8">
        <v>1267.1600000000001</v>
      </c>
      <c r="F36" s="6">
        <v>1439</v>
      </c>
      <c r="G36" s="6">
        <v>1476</v>
      </c>
      <c r="H36" s="6">
        <v>1378</v>
      </c>
      <c r="I36" s="6">
        <v>1498</v>
      </c>
      <c r="J36" s="6">
        <v>1722</v>
      </c>
      <c r="K36" s="6">
        <v>1922</v>
      </c>
      <c r="L36" s="6">
        <v>1858</v>
      </c>
      <c r="M36" s="6">
        <v>1924</v>
      </c>
      <c r="N36" s="6">
        <v>1881</v>
      </c>
      <c r="O36" s="6">
        <v>1710</v>
      </c>
      <c r="P36" s="6">
        <v>1392</v>
      </c>
      <c r="Q36" s="6">
        <v>1690</v>
      </c>
      <c r="R36" s="6">
        <v>1886</v>
      </c>
      <c r="S36" s="6">
        <v>1820</v>
      </c>
      <c r="T36" s="6">
        <v>1853</v>
      </c>
      <c r="U36" s="6">
        <v>1847</v>
      </c>
      <c r="V36" s="6">
        <v>1854</v>
      </c>
      <c r="W36" s="6">
        <v>2084</v>
      </c>
      <c r="X36" s="6">
        <v>2177</v>
      </c>
      <c r="Y36" s="6">
        <v>2218</v>
      </c>
      <c r="Z36" s="6">
        <v>2063</v>
      </c>
      <c r="AA36" s="6">
        <v>1908</v>
      </c>
      <c r="AB36" s="6">
        <v>1678</v>
      </c>
      <c r="AC36" s="6">
        <v>1616</v>
      </c>
      <c r="AD36" s="6">
        <v>1473</v>
      </c>
      <c r="AE36" s="6">
        <v>1378</v>
      </c>
    </row>
    <row r="37" spans="1:31" ht="11.35" customHeight="1" x14ac:dyDescent="0.45">
      <c r="A37" s="5" t="s">
        <v>69</v>
      </c>
      <c r="B37" s="9">
        <v>644.03</v>
      </c>
      <c r="C37" s="9">
        <v>819.88</v>
      </c>
      <c r="D37" s="9">
        <v>784.75</v>
      </c>
      <c r="E37" s="9">
        <v>795.21</v>
      </c>
      <c r="F37" s="9">
        <v>853.93</v>
      </c>
      <c r="G37" s="9">
        <v>930.59</v>
      </c>
      <c r="H37" s="9">
        <v>849.69</v>
      </c>
      <c r="I37" s="9">
        <v>916.81</v>
      </c>
      <c r="J37" s="9">
        <v>942.11</v>
      </c>
      <c r="K37" s="9">
        <v>992.73</v>
      </c>
      <c r="L37" s="9">
        <v>1211.1400000000001</v>
      </c>
      <c r="M37" s="9">
        <v>1296.46</v>
      </c>
      <c r="N37" s="9">
        <v>1435.44</v>
      </c>
      <c r="O37" s="9">
        <v>1668.82</v>
      </c>
      <c r="P37" s="9">
        <v>1542.32</v>
      </c>
      <c r="Q37" s="9">
        <v>1719.56</v>
      </c>
      <c r="R37" s="9">
        <v>1741.01</v>
      </c>
      <c r="S37" s="9">
        <v>1792.49</v>
      </c>
      <c r="T37" s="9">
        <v>1907.41</v>
      </c>
      <c r="U37" s="9">
        <v>1846.9</v>
      </c>
      <c r="V37" s="9">
        <v>2004.92</v>
      </c>
      <c r="W37" s="9">
        <v>2080.2800000000002</v>
      </c>
      <c r="X37" s="9">
        <v>2067.86</v>
      </c>
      <c r="Y37" s="9">
        <v>2057.16</v>
      </c>
      <c r="Z37" s="9">
        <v>2118.7800000000002</v>
      </c>
      <c r="AA37" s="9">
        <v>2105.4299999999998</v>
      </c>
      <c r="AB37" s="9">
        <v>2268.27</v>
      </c>
      <c r="AC37" s="9">
        <v>2224.64</v>
      </c>
      <c r="AD37" s="9">
        <v>2053.09</v>
      </c>
      <c r="AE37" s="9">
        <v>2041.55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E37"/>
  <sheetViews>
    <sheetView workbookViewId="0">
      <pane xSplit="1" ySplit="9" topLeftCell="Y10" activePane="bottomRight" state="frozen"/>
      <selection pane="topRight"/>
      <selection pane="bottomLeft"/>
      <selection pane="bottomRight" activeCell="A15" sqref="A15:XFD15"/>
    </sheetView>
  </sheetViews>
  <sheetFormatPr defaultRowHeight="11.35" customHeight="1" x14ac:dyDescent="0.45"/>
  <cols>
    <col min="1" max="1" width="29.86328125" customWidth="1"/>
    <col min="2" max="31" width="9.9296875" customWidth="1"/>
  </cols>
  <sheetData>
    <row r="1" spans="1:31" ht="11.35" customHeight="1" x14ac:dyDescent="0.45">
      <c r="A1" s="2" t="s">
        <v>0</v>
      </c>
    </row>
    <row r="2" spans="1:31" ht="11.35" customHeight="1" x14ac:dyDescent="0.45">
      <c r="A2" s="2" t="s">
        <v>1</v>
      </c>
      <c r="B2" s="1" t="s">
        <v>2</v>
      </c>
    </row>
    <row r="3" spans="1:31" ht="11.35" customHeight="1" x14ac:dyDescent="0.45">
      <c r="A3" s="2" t="s">
        <v>3</v>
      </c>
      <c r="B3" s="2" t="s">
        <v>4</v>
      </c>
    </row>
    <row r="5" spans="1:31" ht="11.35" customHeight="1" x14ac:dyDescent="0.45">
      <c r="A5" s="1" t="s">
        <v>5</v>
      </c>
      <c r="B5" s="2" t="s">
        <v>6</v>
      </c>
    </row>
    <row r="6" spans="1:31" ht="11.35" customHeight="1" x14ac:dyDescent="0.45">
      <c r="A6" s="1" t="s">
        <v>7</v>
      </c>
      <c r="B6" s="2" t="s">
        <v>72</v>
      </c>
    </row>
    <row r="7" spans="1:31" ht="11.35" customHeight="1" x14ac:dyDescent="0.45">
      <c r="A7" s="1" t="s">
        <v>9</v>
      </c>
      <c r="B7" s="2" t="s">
        <v>10</v>
      </c>
    </row>
    <row r="9" spans="1:31" ht="11.35" customHeight="1" x14ac:dyDescent="0.45">
      <c r="A9" s="4" t="s">
        <v>11</v>
      </c>
      <c r="B9" s="10" t="s">
        <v>12</v>
      </c>
      <c r="C9" s="10" t="s">
        <v>13</v>
      </c>
      <c r="D9" s="10" t="s">
        <v>14</v>
      </c>
      <c r="E9" s="10" t="s">
        <v>15</v>
      </c>
      <c r="F9" s="10" t="s">
        <v>16</v>
      </c>
      <c r="G9" s="10" t="s">
        <v>17</v>
      </c>
      <c r="H9" s="10" t="s">
        <v>18</v>
      </c>
      <c r="I9" s="10" t="s">
        <v>19</v>
      </c>
      <c r="J9" s="10" t="s">
        <v>20</v>
      </c>
      <c r="K9" s="10" t="s">
        <v>21</v>
      </c>
      <c r="L9" s="10" t="s">
        <v>22</v>
      </c>
      <c r="M9" s="10" t="s">
        <v>23</v>
      </c>
      <c r="N9" s="10" t="s">
        <v>24</v>
      </c>
      <c r="O9" s="10" t="s">
        <v>25</v>
      </c>
      <c r="P9" s="10" t="s">
        <v>26</v>
      </c>
      <c r="Q9" s="10" t="s">
        <v>27</v>
      </c>
      <c r="R9" s="10" t="s">
        <v>28</v>
      </c>
      <c r="S9" s="10" t="s">
        <v>29</v>
      </c>
      <c r="T9" s="10" t="s">
        <v>30</v>
      </c>
      <c r="U9" s="10">
        <v>2014</v>
      </c>
      <c r="V9" s="10" t="s">
        <v>32</v>
      </c>
      <c r="W9" s="10" t="s">
        <v>33</v>
      </c>
      <c r="X9" s="10" t="s">
        <v>34</v>
      </c>
      <c r="Y9" s="10" t="s">
        <v>35</v>
      </c>
      <c r="Z9" s="10" t="s">
        <v>36</v>
      </c>
      <c r="AA9" s="10" t="s">
        <v>37</v>
      </c>
      <c r="AB9" s="10" t="s">
        <v>38</v>
      </c>
      <c r="AC9" s="10" t="s">
        <v>39</v>
      </c>
      <c r="AD9" s="10" t="s">
        <v>40</v>
      </c>
      <c r="AE9" s="10">
        <v>2024</v>
      </c>
    </row>
    <row r="10" spans="1:31" ht="11.35" customHeight="1" x14ac:dyDescent="0.45">
      <c r="A10" s="5" t="s">
        <v>42</v>
      </c>
      <c r="B10" s="8">
        <v>5301.99</v>
      </c>
      <c r="C10" s="8">
        <v>6068.84</v>
      </c>
      <c r="D10" s="8">
        <v>5948.61</v>
      </c>
      <c r="E10" s="8">
        <v>6443.49</v>
      </c>
      <c r="F10" s="8">
        <v>6468.29</v>
      </c>
      <c r="G10" s="8">
        <v>7270.12</v>
      </c>
      <c r="H10" s="8">
        <v>7447.74</v>
      </c>
      <c r="I10" s="8">
        <v>7957.65</v>
      </c>
      <c r="J10" s="8">
        <v>7850.3</v>
      </c>
      <c r="K10" s="8">
        <v>7950.88</v>
      </c>
      <c r="L10" s="8">
        <v>8012.94</v>
      </c>
      <c r="M10" s="8">
        <v>8673.11</v>
      </c>
      <c r="N10" s="8">
        <v>9178.15</v>
      </c>
      <c r="O10" s="8">
        <v>9654.86</v>
      </c>
      <c r="P10" s="8">
        <v>9059.2199999999993</v>
      </c>
      <c r="Q10" s="8">
        <v>9154.82</v>
      </c>
      <c r="R10" s="8">
        <v>9533.66</v>
      </c>
      <c r="S10" s="8">
        <v>9881.35</v>
      </c>
      <c r="T10" s="8">
        <v>10038.98</v>
      </c>
      <c r="U10" s="8">
        <v>10476.299999999999</v>
      </c>
      <c r="V10" s="8">
        <v>10885.35</v>
      </c>
      <c r="W10" s="8">
        <v>10978.5</v>
      </c>
      <c r="X10" s="8">
        <v>11140.75</v>
      </c>
      <c r="Y10" s="8">
        <v>11186.9</v>
      </c>
      <c r="Z10" s="8">
        <v>11409.47</v>
      </c>
      <c r="AA10" s="8">
        <v>11453.94</v>
      </c>
      <c r="AB10" s="8">
        <v>12144.96</v>
      </c>
      <c r="AC10" s="8">
        <v>12632.15</v>
      </c>
      <c r="AD10" s="8">
        <v>14548.66</v>
      </c>
      <c r="AE10" s="8">
        <v>14773.1</v>
      </c>
    </row>
    <row r="11" spans="1:31" ht="11.35" customHeight="1" x14ac:dyDescent="0.45">
      <c r="A11" s="5" t="s">
        <v>43</v>
      </c>
      <c r="B11" s="9">
        <v>346.35</v>
      </c>
      <c r="C11" s="9">
        <v>460.08</v>
      </c>
      <c r="D11" s="9">
        <v>528.37</v>
      </c>
      <c r="E11" s="9">
        <v>512.73</v>
      </c>
      <c r="F11" s="7">
        <v>525</v>
      </c>
      <c r="G11" s="9">
        <v>484.8</v>
      </c>
      <c r="H11" s="9">
        <v>465.7</v>
      </c>
      <c r="I11" s="9">
        <v>453.2</v>
      </c>
      <c r="J11" s="9">
        <v>475.7</v>
      </c>
      <c r="K11" s="9">
        <v>649.29999999999995</v>
      </c>
      <c r="L11" s="9">
        <v>628.5</v>
      </c>
      <c r="M11" s="9">
        <v>523.20000000000005</v>
      </c>
      <c r="N11" s="9">
        <v>498.9</v>
      </c>
      <c r="O11" s="9">
        <v>509.4</v>
      </c>
      <c r="P11" s="9">
        <v>505.4</v>
      </c>
      <c r="Q11" s="9">
        <v>531.6</v>
      </c>
      <c r="R11" s="9">
        <v>515.79999999999995</v>
      </c>
      <c r="S11" s="9">
        <v>512.5</v>
      </c>
      <c r="T11" s="9">
        <v>519.1</v>
      </c>
      <c r="U11" s="9">
        <v>509.9</v>
      </c>
      <c r="V11" s="9">
        <v>497.3</v>
      </c>
      <c r="W11" s="9">
        <v>560.29999999999995</v>
      </c>
      <c r="X11" s="9">
        <v>540.79999999999995</v>
      </c>
      <c r="Y11" s="9">
        <v>583.9</v>
      </c>
      <c r="Z11" s="9">
        <v>574.1</v>
      </c>
      <c r="AA11" s="9">
        <v>585.79999999999995</v>
      </c>
      <c r="AB11" s="9">
        <v>547.6</v>
      </c>
      <c r="AC11" s="9">
        <v>582.79999999999995</v>
      </c>
      <c r="AD11" s="9">
        <v>608.1</v>
      </c>
      <c r="AE11" s="9">
        <v>593.5</v>
      </c>
    </row>
    <row r="12" spans="1:31" ht="11.35" customHeight="1" x14ac:dyDescent="0.45">
      <c r="A12" s="5" t="s">
        <v>44</v>
      </c>
      <c r="B12" s="8">
        <v>0.65</v>
      </c>
      <c r="C12" s="8">
        <v>0.63</v>
      </c>
      <c r="D12" s="8">
        <v>0.17</v>
      </c>
      <c r="E12" s="8">
        <v>0.53</v>
      </c>
      <c r="F12" s="8">
        <v>0.8</v>
      </c>
      <c r="G12" s="8">
        <v>0.76</v>
      </c>
      <c r="H12" s="8">
        <v>0.95</v>
      </c>
      <c r="I12" s="8">
        <v>16.41</v>
      </c>
      <c r="J12" s="8">
        <v>26.86</v>
      </c>
      <c r="K12" s="8">
        <v>37.299999999999997</v>
      </c>
      <c r="L12" s="8">
        <v>34.1</v>
      </c>
      <c r="M12" s="8">
        <v>31.74</v>
      </c>
      <c r="N12" s="8">
        <v>25.25</v>
      </c>
      <c r="O12" s="8">
        <v>47.38</v>
      </c>
      <c r="P12" s="8">
        <v>27.96</v>
      </c>
      <c r="Q12" s="8">
        <v>28.95</v>
      </c>
      <c r="R12" s="8">
        <v>34.979999999999997</v>
      </c>
      <c r="S12" s="8">
        <v>20.21</v>
      </c>
      <c r="T12" s="8">
        <v>31.83</v>
      </c>
      <c r="U12" s="8">
        <v>30.62</v>
      </c>
      <c r="V12" s="8">
        <v>30.63</v>
      </c>
      <c r="W12" s="8">
        <v>32.68</v>
      </c>
      <c r="X12" s="8">
        <v>30.89</v>
      </c>
      <c r="Y12" s="8">
        <v>31.94</v>
      </c>
      <c r="Z12" s="8">
        <v>31.62</v>
      </c>
      <c r="AA12" s="8">
        <v>26.57</v>
      </c>
      <c r="AB12" s="8">
        <v>27.05</v>
      </c>
      <c r="AC12" s="8">
        <v>25.99</v>
      </c>
      <c r="AD12" s="8">
        <v>31.09</v>
      </c>
      <c r="AE12" s="8">
        <v>29.8</v>
      </c>
    </row>
    <row r="13" spans="1:31" ht="11.35" customHeight="1" x14ac:dyDescent="0.45">
      <c r="A13" s="5" t="s">
        <v>45</v>
      </c>
      <c r="B13" s="9">
        <v>87.01</v>
      </c>
      <c r="C13" s="9">
        <v>78.209999999999994</v>
      </c>
      <c r="D13" s="9">
        <v>72.84</v>
      </c>
      <c r="E13" s="9">
        <v>48.21</v>
      </c>
      <c r="F13" s="9">
        <v>41.37</v>
      </c>
      <c r="G13" s="9">
        <v>35.03</v>
      </c>
      <c r="H13" s="9">
        <v>32.49</v>
      </c>
      <c r="I13" s="9">
        <v>36.36</v>
      </c>
      <c r="J13" s="9">
        <v>34.51</v>
      </c>
      <c r="K13" s="9">
        <v>29.13</v>
      </c>
      <c r="L13" s="9">
        <v>30.15</v>
      </c>
      <c r="M13" s="9">
        <v>27.77</v>
      </c>
      <c r="N13" s="9">
        <v>33.42</v>
      </c>
      <c r="O13" s="9">
        <v>31.95</v>
      </c>
      <c r="P13" s="9">
        <v>46.83</v>
      </c>
      <c r="Q13" s="9">
        <v>47.78</v>
      </c>
      <c r="R13" s="9">
        <v>45.38</v>
      </c>
      <c r="S13" s="9">
        <v>38.049999999999997</v>
      </c>
      <c r="T13" s="9">
        <v>28.48</v>
      </c>
      <c r="U13" s="9">
        <v>29.27</v>
      </c>
      <c r="V13" s="9">
        <v>30.98</v>
      </c>
      <c r="W13" s="9">
        <v>25.97</v>
      </c>
      <c r="X13" s="9">
        <v>22.37</v>
      </c>
      <c r="Y13" s="9">
        <v>25.03</v>
      </c>
      <c r="Z13" s="9">
        <v>24.04</v>
      </c>
      <c r="AA13" s="9">
        <v>29.86</v>
      </c>
      <c r="AB13" s="9">
        <v>26.64</v>
      </c>
      <c r="AC13" s="9">
        <v>25.52</v>
      </c>
      <c r="AD13" s="9">
        <v>30.41</v>
      </c>
      <c r="AE13" s="9">
        <v>24.84</v>
      </c>
    </row>
    <row r="14" spans="1:31" ht="11.35" customHeight="1" x14ac:dyDescent="0.45">
      <c r="A14" s="5" t="s">
        <v>46</v>
      </c>
      <c r="B14" s="8">
        <v>304.70999999999998</v>
      </c>
      <c r="C14" s="8">
        <v>427.16</v>
      </c>
      <c r="D14" s="8">
        <v>527.1</v>
      </c>
      <c r="E14" s="8">
        <v>634.94000000000005</v>
      </c>
      <c r="F14" s="8">
        <v>673.78</v>
      </c>
      <c r="G14" s="8">
        <v>621.66</v>
      </c>
      <c r="H14" s="8">
        <v>614.32000000000005</v>
      </c>
      <c r="I14" s="8">
        <v>639.85</v>
      </c>
      <c r="J14" s="8">
        <v>622.62</v>
      </c>
      <c r="K14" s="8">
        <v>627.09</v>
      </c>
      <c r="L14" s="8">
        <v>630.29999999999995</v>
      </c>
      <c r="M14" s="8">
        <v>649.05999999999995</v>
      </c>
      <c r="N14" s="8">
        <v>683.1</v>
      </c>
      <c r="O14" s="8">
        <v>667.72</v>
      </c>
      <c r="P14" s="8">
        <v>599.19000000000005</v>
      </c>
      <c r="Q14" s="8">
        <v>503.44</v>
      </c>
      <c r="R14" s="8">
        <v>510.19</v>
      </c>
      <c r="S14" s="8">
        <v>587.79</v>
      </c>
      <c r="T14" s="8">
        <v>657.93</v>
      </c>
      <c r="U14" s="8">
        <v>569.15</v>
      </c>
      <c r="V14" s="8">
        <v>624.73</v>
      </c>
      <c r="W14" s="8">
        <v>555.70000000000005</v>
      </c>
      <c r="X14" s="8">
        <v>508.68</v>
      </c>
      <c r="Y14" s="8">
        <v>525.37</v>
      </c>
      <c r="Z14" s="8">
        <v>497.01</v>
      </c>
      <c r="AA14" s="8">
        <v>517.51</v>
      </c>
      <c r="AB14" s="8">
        <v>549.46</v>
      </c>
      <c r="AC14" s="8">
        <v>540.38</v>
      </c>
      <c r="AD14" s="8">
        <v>525.96</v>
      </c>
      <c r="AE14" s="8">
        <v>546.55999999999995</v>
      </c>
    </row>
    <row r="15" spans="1:31" ht="11.35" customHeight="1" x14ac:dyDescent="0.45">
      <c r="A15" s="5" t="s">
        <v>47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</row>
    <row r="16" spans="1:31" ht="11.35" customHeight="1" x14ac:dyDescent="0.45">
      <c r="A16" s="5" t="s">
        <v>48</v>
      </c>
      <c r="B16" s="8">
        <v>3.81</v>
      </c>
      <c r="C16" s="8">
        <v>4.74</v>
      </c>
      <c r="D16" s="8">
        <v>6.59</v>
      </c>
      <c r="E16" s="8">
        <v>7.18</v>
      </c>
      <c r="F16" s="8">
        <v>7.83</v>
      </c>
      <c r="G16" s="8">
        <v>15.28</v>
      </c>
      <c r="H16" s="8">
        <v>21.37</v>
      </c>
      <c r="I16" s="8">
        <v>22.48</v>
      </c>
      <c r="J16" s="8">
        <v>26.83</v>
      </c>
      <c r="K16" s="6">
        <v>23</v>
      </c>
      <c r="L16" s="8">
        <v>31.93</v>
      </c>
      <c r="M16" s="8">
        <v>43.53</v>
      </c>
      <c r="N16" s="8">
        <v>54.57</v>
      </c>
      <c r="O16" s="8">
        <v>54.73</v>
      </c>
      <c r="P16" s="8">
        <v>53.54</v>
      </c>
      <c r="Q16" s="8">
        <v>45.2</v>
      </c>
      <c r="R16" s="8">
        <v>48.68</v>
      </c>
      <c r="S16" s="8">
        <v>46.36</v>
      </c>
      <c r="T16" s="8">
        <v>52.76</v>
      </c>
      <c r="U16" s="8">
        <v>57.98</v>
      </c>
      <c r="V16" s="8">
        <v>59.44</v>
      </c>
      <c r="W16" s="8">
        <v>65.38</v>
      </c>
      <c r="X16" s="8">
        <v>68.42</v>
      </c>
      <c r="Y16" s="8">
        <v>71.98</v>
      </c>
      <c r="Z16" s="8">
        <v>59.12</v>
      </c>
      <c r="AA16" s="8">
        <v>44.64</v>
      </c>
      <c r="AB16" s="8">
        <v>48.7</v>
      </c>
      <c r="AC16" s="8">
        <v>59.34</v>
      </c>
      <c r="AD16" s="8">
        <v>52.15</v>
      </c>
      <c r="AE16" s="8">
        <v>51.58</v>
      </c>
    </row>
    <row r="17" spans="1:31" ht="11.35" customHeight="1" x14ac:dyDescent="0.45">
      <c r="A17" s="5" t="s">
        <v>49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9">
        <v>1.1399999999999999</v>
      </c>
      <c r="H17" s="9">
        <v>1.1599999999999999</v>
      </c>
      <c r="I17" s="9">
        <v>29.54</v>
      </c>
      <c r="J17" s="9">
        <v>43.37</v>
      </c>
      <c r="K17" s="9">
        <v>43.13</v>
      </c>
      <c r="L17" s="9">
        <v>46.34</v>
      </c>
      <c r="M17" s="9">
        <v>51.75</v>
      </c>
      <c r="N17" s="9">
        <v>56.4</v>
      </c>
      <c r="O17" s="9">
        <v>61.82</v>
      </c>
      <c r="P17" s="9">
        <v>56.87</v>
      </c>
      <c r="Q17" s="9">
        <v>61.33</v>
      </c>
      <c r="R17" s="9">
        <v>63.33</v>
      </c>
      <c r="S17" s="9">
        <v>66.95</v>
      </c>
      <c r="T17" s="9">
        <v>59.37</v>
      </c>
      <c r="U17" s="9">
        <v>47.57</v>
      </c>
      <c r="V17" s="9">
        <v>47.22</v>
      </c>
      <c r="W17" s="9">
        <v>58.28</v>
      </c>
      <c r="X17" s="9">
        <v>45.56</v>
      </c>
      <c r="Y17" s="9">
        <v>26.16</v>
      </c>
      <c r="Z17" s="9">
        <v>18.68</v>
      </c>
      <c r="AA17" s="9">
        <v>11.09</v>
      </c>
      <c r="AB17" s="9">
        <v>13.36</v>
      </c>
      <c r="AC17" s="9">
        <v>18.47</v>
      </c>
      <c r="AD17" s="9">
        <v>9.39</v>
      </c>
      <c r="AE17" s="9">
        <v>29.68</v>
      </c>
    </row>
    <row r="18" spans="1:31" ht="11.35" customHeight="1" x14ac:dyDescent="0.45">
      <c r="A18" s="5" t="s">
        <v>50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18</v>
      </c>
      <c r="Z18" s="6">
        <v>9</v>
      </c>
      <c r="AA18" s="6">
        <v>4</v>
      </c>
      <c r="AB18" s="6">
        <v>13</v>
      </c>
      <c r="AC18" s="6">
        <v>73</v>
      </c>
      <c r="AD18" s="6">
        <v>29</v>
      </c>
      <c r="AE18" s="6">
        <v>30</v>
      </c>
    </row>
    <row r="19" spans="1:31" ht="11.35" customHeight="1" x14ac:dyDescent="0.45">
      <c r="A19" s="5" t="s">
        <v>51</v>
      </c>
      <c r="B19" s="9">
        <v>28.58</v>
      </c>
      <c r="C19" s="9">
        <v>37.26</v>
      </c>
      <c r="D19" s="9">
        <v>42.13</v>
      </c>
      <c r="E19" s="9">
        <v>98.53</v>
      </c>
      <c r="F19" s="7">
        <v>120</v>
      </c>
      <c r="G19" s="7">
        <v>123</v>
      </c>
      <c r="H19" s="7">
        <v>132</v>
      </c>
      <c r="I19" s="7">
        <v>151</v>
      </c>
      <c r="J19" s="7">
        <v>191</v>
      </c>
      <c r="K19" s="7">
        <v>177</v>
      </c>
      <c r="L19" s="7">
        <v>175</v>
      </c>
      <c r="M19" s="7">
        <v>197</v>
      </c>
      <c r="N19" s="7">
        <v>209</v>
      </c>
      <c r="O19" s="7">
        <v>237</v>
      </c>
      <c r="P19" s="7">
        <v>191</v>
      </c>
      <c r="Q19" s="7">
        <v>246</v>
      </c>
      <c r="R19" s="7">
        <v>259</v>
      </c>
      <c r="S19" s="7">
        <v>362</v>
      </c>
      <c r="T19" s="7">
        <v>811</v>
      </c>
      <c r="U19" s="7">
        <v>721</v>
      </c>
      <c r="V19" s="7">
        <v>915</v>
      </c>
      <c r="W19" s="7">
        <v>967</v>
      </c>
      <c r="X19" s="7">
        <v>1010</v>
      </c>
      <c r="Y19" s="7">
        <v>1036</v>
      </c>
      <c r="Z19" s="7">
        <v>1068</v>
      </c>
      <c r="AA19" s="7">
        <v>1046</v>
      </c>
      <c r="AB19" s="7">
        <v>1166</v>
      </c>
      <c r="AC19" s="7">
        <v>1077</v>
      </c>
      <c r="AD19" s="7">
        <v>2158</v>
      </c>
      <c r="AE19" s="7">
        <v>2291</v>
      </c>
    </row>
    <row r="20" spans="1:31" ht="11.35" customHeight="1" x14ac:dyDescent="0.45">
      <c r="A20" s="5" t="s">
        <v>52</v>
      </c>
      <c r="B20" s="8">
        <v>1764.28</v>
      </c>
      <c r="C20" s="6">
        <v>1971</v>
      </c>
      <c r="D20" s="8">
        <v>1572.29</v>
      </c>
      <c r="E20" s="8">
        <v>1612.71</v>
      </c>
      <c r="F20" s="6">
        <v>1733</v>
      </c>
      <c r="G20" s="6">
        <v>2014</v>
      </c>
      <c r="H20" s="6">
        <v>2156</v>
      </c>
      <c r="I20" s="6">
        <v>2372</v>
      </c>
      <c r="J20" s="6">
        <v>2193</v>
      </c>
      <c r="K20" s="6">
        <v>2130</v>
      </c>
      <c r="L20" s="6">
        <v>2123</v>
      </c>
      <c r="M20" s="6">
        <v>2196</v>
      </c>
      <c r="N20" s="6">
        <v>2412</v>
      </c>
      <c r="O20" s="6">
        <v>2470</v>
      </c>
      <c r="P20" s="6">
        <v>2304</v>
      </c>
      <c r="Q20" s="6">
        <v>2282</v>
      </c>
      <c r="R20" s="6">
        <v>2582</v>
      </c>
      <c r="S20" s="6">
        <v>2861</v>
      </c>
      <c r="T20" s="6">
        <v>2938</v>
      </c>
      <c r="U20" s="6">
        <v>2990</v>
      </c>
      <c r="V20" s="6">
        <v>2868</v>
      </c>
      <c r="W20" s="6">
        <v>2893</v>
      </c>
      <c r="X20" s="6">
        <v>2917</v>
      </c>
      <c r="Y20" s="6">
        <v>2747</v>
      </c>
      <c r="Z20" s="6">
        <v>2748</v>
      </c>
      <c r="AA20" s="6">
        <v>2677</v>
      </c>
      <c r="AB20" s="6">
        <v>3090</v>
      </c>
      <c r="AC20" s="6">
        <v>3274</v>
      </c>
      <c r="AD20" s="6">
        <v>3595</v>
      </c>
      <c r="AE20" s="6">
        <v>3252</v>
      </c>
    </row>
    <row r="21" spans="1:31" ht="11.35" customHeight="1" x14ac:dyDescent="0.45">
      <c r="A21" s="5" t="s">
        <v>53</v>
      </c>
      <c r="B21" s="9">
        <v>147.38</v>
      </c>
      <c r="C21" s="9">
        <v>153.30000000000001</v>
      </c>
      <c r="D21" s="9">
        <v>150.72999999999999</v>
      </c>
      <c r="E21" s="9">
        <v>160.81</v>
      </c>
      <c r="F21" s="9">
        <v>155.46</v>
      </c>
      <c r="G21" s="9">
        <v>144.46</v>
      </c>
      <c r="H21" s="9">
        <v>160.44</v>
      </c>
      <c r="I21" s="9">
        <v>162.34</v>
      </c>
      <c r="J21" s="9">
        <v>171.22</v>
      </c>
      <c r="K21" s="9">
        <v>183.07</v>
      </c>
      <c r="L21" s="9">
        <v>180.24</v>
      </c>
      <c r="M21" s="9">
        <v>305.39999999999998</v>
      </c>
      <c r="N21" s="9">
        <v>419.61</v>
      </c>
      <c r="O21" s="9">
        <v>456.39</v>
      </c>
      <c r="P21" s="9">
        <v>420.11</v>
      </c>
      <c r="Q21" s="9">
        <v>381.19</v>
      </c>
      <c r="R21" s="9">
        <v>357.07</v>
      </c>
      <c r="S21" s="9">
        <v>328.45</v>
      </c>
      <c r="T21" s="9">
        <v>333.11</v>
      </c>
      <c r="U21" s="9">
        <v>366.29</v>
      </c>
      <c r="V21" s="9">
        <v>404.42</v>
      </c>
      <c r="W21" s="9">
        <v>421.57</v>
      </c>
      <c r="X21" s="9">
        <v>436.41</v>
      </c>
      <c r="Y21" s="9">
        <v>460.27</v>
      </c>
      <c r="Z21" s="9">
        <v>455.53</v>
      </c>
      <c r="AA21" s="9">
        <v>421.53</v>
      </c>
      <c r="AB21" s="7">
        <v>452</v>
      </c>
      <c r="AC21" s="9">
        <v>475.03</v>
      </c>
      <c r="AD21" s="9">
        <v>505.22</v>
      </c>
      <c r="AE21" s="9">
        <v>522.36</v>
      </c>
    </row>
    <row r="22" spans="1:31" ht="11.35" customHeight="1" x14ac:dyDescent="0.45">
      <c r="A22" s="5" t="s">
        <v>54</v>
      </c>
      <c r="B22" s="8">
        <v>103.62</v>
      </c>
      <c r="C22" s="8">
        <v>428.97</v>
      </c>
      <c r="D22" s="8">
        <v>491.77</v>
      </c>
      <c r="E22" s="8">
        <v>539.94000000000005</v>
      </c>
      <c r="F22" s="6">
        <v>482</v>
      </c>
      <c r="G22" s="6">
        <v>513</v>
      </c>
      <c r="H22" s="6">
        <v>473</v>
      </c>
      <c r="I22" s="6">
        <v>450</v>
      </c>
      <c r="J22" s="6">
        <v>435</v>
      </c>
      <c r="K22" s="6">
        <v>437</v>
      </c>
      <c r="L22" s="6">
        <v>454</v>
      </c>
      <c r="M22" s="6">
        <v>464</v>
      </c>
      <c r="N22" s="6">
        <v>492</v>
      </c>
      <c r="O22" s="6">
        <v>486</v>
      </c>
      <c r="P22" s="6">
        <v>479</v>
      </c>
      <c r="Q22" s="6">
        <v>463</v>
      </c>
      <c r="R22" s="6">
        <v>469</v>
      </c>
      <c r="S22" s="6">
        <v>529</v>
      </c>
      <c r="T22" s="6">
        <v>489</v>
      </c>
      <c r="U22" s="6">
        <v>538</v>
      </c>
      <c r="V22" s="6">
        <v>510</v>
      </c>
      <c r="W22" s="6">
        <v>474</v>
      </c>
      <c r="X22" s="6">
        <v>521</v>
      </c>
      <c r="Y22" s="6">
        <v>497</v>
      </c>
      <c r="Z22" s="6">
        <v>493</v>
      </c>
      <c r="AA22" s="6">
        <v>542</v>
      </c>
      <c r="AB22" s="6">
        <v>566</v>
      </c>
      <c r="AC22" s="6">
        <v>600</v>
      </c>
      <c r="AD22" s="6">
        <v>594</v>
      </c>
      <c r="AE22" s="6">
        <v>611</v>
      </c>
    </row>
    <row r="23" spans="1:31" ht="11.35" customHeight="1" x14ac:dyDescent="0.45">
      <c r="A23" s="5" t="s">
        <v>55</v>
      </c>
      <c r="B23" s="9">
        <v>39.76</v>
      </c>
      <c r="C23" s="9">
        <v>40.51</v>
      </c>
      <c r="D23" s="9">
        <v>41.97</v>
      </c>
      <c r="E23" s="9">
        <v>43.01</v>
      </c>
      <c r="F23" s="9">
        <v>43.88</v>
      </c>
      <c r="G23" s="9">
        <v>45.11</v>
      </c>
      <c r="H23" s="9">
        <v>45.83</v>
      </c>
      <c r="I23" s="9">
        <v>46.77</v>
      </c>
      <c r="J23" s="9">
        <v>46.95</v>
      </c>
      <c r="K23" s="9">
        <v>48.05</v>
      </c>
      <c r="L23" s="9">
        <v>49.4</v>
      </c>
      <c r="M23" s="9">
        <v>50.45</v>
      </c>
      <c r="N23" s="9">
        <v>50.83</v>
      </c>
      <c r="O23" s="9">
        <v>51.58</v>
      </c>
      <c r="P23" s="9">
        <v>52.57</v>
      </c>
      <c r="Q23" s="9">
        <v>53.59</v>
      </c>
      <c r="R23" s="9">
        <v>54.63</v>
      </c>
      <c r="S23" s="9">
        <v>57.09</v>
      </c>
      <c r="T23" s="9">
        <v>57.77</v>
      </c>
      <c r="U23" s="9">
        <v>58.77</v>
      </c>
      <c r="V23" s="9">
        <v>59.89</v>
      </c>
      <c r="W23" s="9">
        <v>61.23</v>
      </c>
      <c r="X23" s="9">
        <v>64.760000000000005</v>
      </c>
      <c r="Y23" s="9">
        <v>67.900000000000006</v>
      </c>
      <c r="Z23" s="9">
        <v>67.77</v>
      </c>
      <c r="AA23" s="9">
        <v>67.98</v>
      </c>
      <c r="AB23" s="9">
        <v>68.8</v>
      </c>
      <c r="AC23" s="9">
        <v>67.44</v>
      </c>
      <c r="AD23" s="9">
        <v>71.25</v>
      </c>
      <c r="AE23" s="9">
        <v>79.400000000000006</v>
      </c>
    </row>
    <row r="24" spans="1:31" ht="11.35" customHeight="1" x14ac:dyDescent="0.45">
      <c r="A24" s="5" t="s">
        <v>56</v>
      </c>
      <c r="B24" s="8">
        <v>2.19</v>
      </c>
      <c r="C24" s="8">
        <v>2.4700000000000002</v>
      </c>
      <c r="D24" s="8">
        <v>13.87</v>
      </c>
      <c r="E24" s="8">
        <v>16.28</v>
      </c>
      <c r="F24" s="8">
        <v>17.07</v>
      </c>
      <c r="G24" s="8">
        <v>18.54</v>
      </c>
      <c r="H24" s="8">
        <v>18.809999999999999</v>
      </c>
      <c r="I24" s="8">
        <v>19.12</v>
      </c>
      <c r="J24" s="8">
        <v>15.82</v>
      </c>
      <c r="K24" s="8">
        <v>13.04</v>
      </c>
      <c r="L24" s="8">
        <v>15.38</v>
      </c>
      <c r="M24" s="8">
        <v>16.34</v>
      </c>
      <c r="N24" s="8">
        <v>15.47</v>
      </c>
      <c r="O24" s="8">
        <v>13.96</v>
      </c>
      <c r="P24" s="8">
        <v>11.31</v>
      </c>
      <c r="Q24" s="8">
        <v>13.29</v>
      </c>
      <c r="R24" s="8">
        <v>15.63</v>
      </c>
      <c r="S24" s="8">
        <v>18.41</v>
      </c>
      <c r="T24" s="8">
        <v>20.329999999999998</v>
      </c>
      <c r="U24" s="8">
        <v>21.13</v>
      </c>
      <c r="V24" s="8">
        <v>23.07</v>
      </c>
      <c r="W24" s="6">
        <v>19</v>
      </c>
      <c r="X24" s="8">
        <v>26.9</v>
      </c>
      <c r="Y24" s="8">
        <v>31.4</v>
      </c>
      <c r="Z24" s="8">
        <v>31.77</v>
      </c>
      <c r="AA24" s="8">
        <v>35.53</v>
      </c>
      <c r="AB24" s="8">
        <v>45.07</v>
      </c>
      <c r="AC24" s="8">
        <v>55.78</v>
      </c>
      <c r="AD24" s="8">
        <v>63.22</v>
      </c>
      <c r="AE24" s="8">
        <v>67.5</v>
      </c>
    </row>
    <row r="25" spans="1:31" ht="11.35" customHeight="1" x14ac:dyDescent="0.45">
      <c r="A25" s="5" t="s">
        <v>57</v>
      </c>
      <c r="B25" s="9">
        <v>1.91</v>
      </c>
      <c r="C25" s="9">
        <v>3.43</v>
      </c>
      <c r="D25" s="9">
        <v>4.72</v>
      </c>
      <c r="E25" s="9">
        <v>4.5</v>
      </c>
      <c r="F25" s="9">
        <v>12.09</v>
      </c>
      <c r="G25" s="9">
        <v>5.95</v>
      </c>
      <c r="H25" s="9">
        <v>9.9</v>
      </c>
      <c r="I25" s="9">
        <v>11.54</v>
      </c>
      <c r="J25" s="9">
        <v>10.98</v>
      </c>
      <c r="K25" s="9">
        <v>16.309999999999999</v>
      </c>
      <c r="L25" s="9">
        <v>17.190000000000001</v>
      </c>
      <c r="M25" s="9">
        <v>16.829999999999998</v>
      </c>
      <c r="N25" s="9">
        <v>18.34</v>
      </c>
      <c r="O25" s="9">
        <v>20.81</v>
      </c>
      <c r="P25" s="9">
        <v>18.11</v>
      </c>
      <c r="Q25" s="9">
        <v>7.37</v>
      </c>
      <c r="R25" s="9">
        <v>16.309999999999999</v>
      </c>
      <c r="S25" s="9">
        <v>16.82</v>
      </c>
      <c r="T25" s="7">
        <v>19</v>
      </c>
      <c r="U25" s="9">
        <v>16.649999999999999</v>
      </c>
      <c r="V25" s="9">
        <v>36.86</v>
      </c>
      <c r="W25" s="9">
        <v>37.020000000000003</v>
      </c>
      <c r="X25" s="9">
        <v>41.03</v>
      </c>
      <c r="Y25" s="9">
        <v>51.94</v>
      </c>
      <c r="Z25" s="9">
        <v>46.3</v>
      </c>
      <c r="AA25" s="9">
        <v>49.09</v>
      </c>
      <c r="AB25" s="9">
        <v>51.09</v>
      </c>
      <c r="AC25" s="9">
        <v>119.52</v>
      </c>
      <c r="AD25" s="9">
        <v>151.25</v>
      </c>
      <c r="AE25" s="9">
        <v>151.61000000000001</v>
      </c>
    </row>
    <row r="26" spans="1:31" ht="11.35" customHeight="1" x14ac:dyDescent="0.45">
      <c r="A26" s="5" t="s">
        <v>58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8">
        <v>4.8600000000000003</v>
      </c>
      <c r="R26" s="8">
        <v>3.71</v>
      </c>
      <c r="S26" s="8">
        <v>8.69</v>
      </c>
      <c r="T26" s="8">
        <v>6.19</v>
      </c>
      <c r="U26" s="8">
        <v>5.98</v>
      </c>
      <c r="V26" s="8">
        <v>14.73</v>
      </c>
      <c r="W26" s="8">
        <v>13.83</v>
      </c>
      <c r="X26" s="8">
        <v>10.130000000000001</v>
      </c>
      <c r="Y26" s="8">
        <v>9.24</v>
      </c>
      <c r="Z26" s="8">
        <v>10.62</v>
      </c>
      <c r="AA26" s="8">
        <v>5.89</v>
      </c>
      <c r="AB26" s="8">
        <v>8.4499999999999993</v>
      </c>
      <c r="AC26" s="8">
        <v>9.84</v>
      </c>
      <c r="AD26" s="8">
        <v>8.4700000000000006</v>
      </c>
      <c r="AE26" s="8">
        <v>13.39</v>
      </c>
    </row>
    <row r="27" spans="1:31" ht="11.35" customHeight="1" x14ac:dyDescent="0.45">
      <c r="A27" s="5" t="s">
        <v>59</v>
      </c>
      <c r="B27" s="9">
        <v>44.35</v>
      </c>
      <c r="C27" s="9">
        <v>71.7</v>
      </c>
      <c r="D27" s="9">
        <v>75.67</v>
      </c>
      <c r="E27" s="9">
        <v>98.55</v>
      </c>
      <c r="F27" s="9">
        <v>65.13</v>
      </c>
      <c r="G27" s="9">
        <v>78.2</v>
      </c>
      <c r="H27" s="9">
        <v>87.86</v>
      </c>
      <c r="I27" s="9">
        <v>109.63</v>
      </c>
      <c r="J27" s="9">
        <v>132.47999999999999</v>
      </c>
      <c r="K27" s="9">
        <v>145.68</v>
      </c>
      <c r="L27" s="9">
        <v>115.28</v>
      </c>
      <c r="M27" s="9">
        <v>128.13</v>
      </c>
      <c r="N27" s="9">
        <v>141.81</v>
      </c>
      <c r="O27" s="9">
        <v>169.34</v>
      </c>
      <c r="P27" s="9">
        <v>156.97999999999999</v>
      </c>
      <c r="Q27" s="9">
        <v>100.55</v>
      </c>
      <c r="R27" s="9">
        <v>95.42</v>
      </c>
      <c r="S27" s="9">
        <v>226.37</v>
      </c>
      <c r="T27" s="9">
        <v>212.52</v>
      </c>
      <c r="U27" s="9">
        <v>221.32</v>
      </c>
      <c r="V27" s="9">
        <v>280.48</v>
      </c>
      <c r="W27" s="9">
        <v>290.14</v>
      </c>
      <c r="X27" s="9">
        <v>335.42</v>
      </c>
      <c r="Y27" s="9">
        <v>330.93</v>
      </c>
      <c r="Z27" s="9">
        <v>342.55</v>
      </c>
      <c r="AA27" s="9">
        <v>291.62</v>
      </c>
      <c r="AB27" s="9">
        <v>315.73</v>
      </c>
      <c r="AC27" s="9">
        <v>301.26</v>
      </c>
      <c r="AD27" s="9">
        <v>370.63</v>
      </c>
      <c r="AE27" s="9">
        <v>280.01</v>
      </c>
    </row>
    <row r="28" spans="1:31" ht="11.35" customHeight="1" x14ac:dyDescent="0.45">
      <c r="A28" s="5" t="s">
        <v>60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8">
        <v>0.87</v>
      </c>
      <c r="L28" s="8">
        <v>10.35</v>
      </c>
      <c r="M28" s="8">
        <v>11.87</v>
      </c>
      <c r="N28" s="8">
        <v>14.36</v>
      </c>
      <c r="O28" s="8">
        <v>17.059999999999999</v>
      </c>
      <c r="P28" s="8">
        <v>12.9</v>
      </c>
      <c r="Q28" s="8">
        <v>10.45</v>
      </c>
      <c r="R28" s="8">
        <v>10.94</v>
      </c>
      <c r="S28" s="8">
        <v>9.8699999999999992</v>
      </c>
      <c r="T28" s="8">
        <v>12.08</v>
      </c>
      <c r="U28" s="8">
        <v>16.53</v>
      </c>
      <c r="V28" s="8">
        <v>22.09</v>
      </c>
      <c r="W28" s="8">
        <v>19.260000000000002</v>
      </c>
      <c r="X28" s="8">
        <v>25.36</v>
      </c>
      <c r="Y28" s="8">
        <v>29.28</v>
      </c>
      <c r="Z28" s="8">
        <v>32.659999999999997</v>
      </c>
      <c r="AA28" s="8">
        <v>31.03</v>
      </c>
      <c r="AB28" s="8">
        <v>30.07</v>
      </c>
      <c r="AC28" s="8">
        <v>31.9</v>
      </c>
      <c r="AD28" s="8">
        <v>30.65</v>
      </c>
      <c r="AE28" s="8">
        <v>31.88</v>
      </c>
    </row>
    <row r="29" spans="1:31" ht="11.35" customHeight="1" x14ac:dyDescent="0.45">
      <c r="A29" s="5" t="s">
        <v>61</v>
      </c>
      <c r="B29" s="9">
        <v>1699.83</v>
      </c>
      <c r="C29" s="9">
        <v>1670.5</v>
      </c>
      <c r="D29" s="9">
        <v>1697.53</v>
      </c>
      <c r="E29" s="9">
        <v>1736.43</v>
      </c>
      <c r="F29" s="7">
        <v>1848</v>
      </c>
      <c r="G29" s="7">
        <v>2195</v>
      </c>
      <c r="H29" s="7">
        <v>2246</v>
      </c>
      <c r="I29" s="7">
        <v>2355</v>
      </c>
      <c r="J29" s="7">
        <v>2407</v>
      </c>
      <c r="K29" s="7">
        <v>2435</v>
      </c>
      <c r="L29" s="7">
        <v>2563</v>
      </c>
      <c r="M29" s="7">
        <v>2797</v>
      </c>
      <c r="N29" s="7">
        <v>2842</v>
      </c>
      <c r="O29" s="7">
        <v>3047</v>
      </c>
      <c r="P29" s="7">
        <v>2995</v>
      </c>
      <c r="Q29" s="7">
        <v>3129</v>
      </c>
      <c r="R29" s="7">
        <v>3161</v>
      </c>
      <c r="S29" s="7">
        <v>3030</v>
      </c>
      <c r="T29" s="7">
        <v>2992</v>
      </c>
      <c r="U29" s="7">
        <v>3207</v>
      </c>
      <c r="V29" s="7">
        <v>3295</v>
      </c>
      <c r="W29" s="7">
        <v>3469</v>
      </c>
      <c r="X29" s="7">
        <v>3505</v>
      </c>
      <c r="Y29" s="7">
        <v>3557</v>
      </c>
      <c r="Z29" s="7">
        <v>3788</v>
      </c>
      <c r="AA29" s="7">
        <v>3863</v>
      </c>
      <c r="AB29" s="7">
        <v>3998</v>
      </c>
      <c r="AC29" s="7">
        <v>4076</v>
      </c>
      <c r="AD29" s="7">
        <v>4419</v>
      </c>
      <c r="AE29" s="7">
        <v>4808</v>
      </c>
    </row>
    <row r="30" spans="1:31" ht="11.35" customHeight="1" x14ac:dyDescent="0.45">
      <c r="A30" s="5" t="s">
        <v>62</v>
      </c>
      <c r="B30" s="8">
        <v>30.29</v>
      </c>
      <c r="C30" s="8">
        <v>32.24</v>
      </c>
      <c r="D30" s="8">
        <v>41.2</v>
      </c>
      <c r="E30" s="8">
        <v>52.18</v>
      </c>
      <c r="F30" s="8">
        <v>73.930000000000007</v>
      </c>
      <c r="G30" s="8">
        <v>82.31</v>
      </c>
      <c r="H30" s="8">
        <v>99.84</v>
      </c>
      <c r="I30" s="8">
        <v>102.97</v>
      </c>
      <c r="J30" s="8">
        <v>108.72</v>
      </c>
      <c r="K30" s="8">
        <v>69.48</v>
      </c>
      <c r="L30" s="8">
        <v>59.05</v>
      </c>
      <c r="M30" s="8">
        <v>83.22</v>
      </c>
      <c r="N30" s="8">
        <v>82.61</v>
      </c>
      <c r="O30" s="8">
        <v>75.37</v>
      </c>
      <c r="P30" s="8">
        <v>69.75</v>
      </c>
      <c r="Q30" s="8">
        <v>62.3</v>
      </c>
      <c r="R30" s="8">
        <v>64.39</v>
      </c>
      <c r="S30" s="8">
        <v>72.16</v>
      </c>
      <c r="T30" s="8">
        <v>72.89</v>
      </c>
      <c r="U30" s="8">
        <v>75.7</v>
      </c>
      <c r="V30" s="8">
        <v>79.11</v>
      </c>
      <c r="W30" s="8">
        <v>81.260000000000005</v>
      </c>
      <c r="X30" s="8">
        <v>86.35</v>
      </c>
      <c r="Y30" s="8">
        <v>104.02</v>
      </c>
      <c r="Z30" s="8">
        <v>98.68</v>
      </c>
      <c r="AA30" s="8">
        <v>75.09</v>
      </c>
      <c r="AB30" s="8">
        <v>85.39</v>
      </c>
      <c r="AC30" s="8">
        <v>87.55</v>
      </c>
      <c r="AD30" s="8">
        <v>80.69</v>
      </c>
      <c r="AE30" s="8">
        <v>85.1</v>
      </c>
    </row>
    <row r="31" spans="1:31" ht="11.35" customHeight="1" x14ac:dyDescent="0.45">
      <c r="A31" s="5" t="s">
        <v>63</v>
      </c>
      <c r="B31" s="9">
        <v>425.48</v>
      </c>
      <c r="C31" s="9">
        <v>359.99</v>
      </c>
      <c r="D31" s="9">
        <v>337.51</v>
      </c>
      <c r="E31" s="9">
        <v>481.04</v>
      </c>
      <c r="F31" s="9">
        <v>334.96</v>
      </c>
      <c r="G31" s="9">
        <v>385.46</v>
      </c>
      <c r="H31" s="9">
        <v>386.43</v>
      </c>
      <c r="I31" s="9">
        <v>446.93</v>
      </c>
      <c r="J31" s="9">
        <v>342.53</v>
      </c>
      <c r="K31" s="9">
        <v>388.8</v>
      </c>
      <c r="L31" s="9">
        <v>347.25</v>
      </c>
      <c r="M31" s="9">
        <v>546.47</v>
      </c>
      <c r="N31" s="9">
        <v>640.11</v>
      </c>
      <c r="O31" s="9">
        <v>822.3</v>
      </c>
      <c r="P31" s="9">
        <v>715.64</v>
      </c>
      <c r="Q31" s="9">
        <v>797.81</v>
      </c>
      <c r="R31" s="9">
        <v>807.65</v>
      </c>
      <c r="S31" s="9">
        <v>687.74</v>
      </c>
      <c r="T31" s="9">
        <v>339.73</v>
      </c>
      <c r="U31" s="9">
        <v>625.19000000000005</v>
      </c>
      <c r="V31" s="9">
        <v>725.13</v>
      </c>
      <c r="W31" s="9">
        <v>594.98</v>
      </c>
      <c r="X31" s="9">
        <v>559.08000000000004</v>
      </c>
      <c r="Y31" s="9">
        <v>538.54</v>
      </c>
      <c r="Z31" s="9">
        <v>572.65</v>
      </c>
      <c r="AA31" s="9">
        <v>663.07</v>
      </c>
      <c r="AB31" s="9">
        <v>522.42999999999995</v>
      </c>
      <c r="AC31" s="9">
        <v>581.08000000000004</v>
      </c>
      <c r="AD31" s="9">
        <v>680.54</v>
      </c>
      <c r="AE31" s="9">
        <v>718.33</v>
      </c>
    </row>
    <row r="32" spans="1:31" ht="11.35" customHeight="1" x14ac:dyDescent="0.45">
      <c r="A32" s="5" t="s">
        <v>64</v>
      </c>
      <c r="B32" s="8">
        <v>0.02</v>
      </c>
      <c r="C32" s="8">
        <v>0.02</v>
      </c>
      <c r="D32" s="8">
        <v>0.02</v>
      </c>
      <c r="E32" s="8">
        <v>0.01</v>
      </c>
      <c r="F32" s="8">
        <v>0.43</v>
      </c>
      <c r="G32" s="8">
        <v>1.05</v>
      </c>
      <c r="H32" s="8">
        <v>1.03</v>
      </c>
      <c r="I32" s="8">
        <v>1.1299999999999999</v>
      </c>
      <c r="J32" s="8">
        <v>5.95</v>
      </c>
      <c r="K32" s="8">
        <v>7.59</v>
      </c>
      <c r="L32" s="8">
        <v>8.0500000000000007</v>
      </c>
      <c r="M32" s="8">
        <v>9.56</v>
      </c>
      <c r="N32" s="8">
        <v>8.86</v>
      </c>
      <c r="O32" s="8">
        <v>14.06</v>
      </c>
      <c r="P32" s="8">
        <v>21.62</v>
      </c>
      <c r="Q32" s="8">
        <v>34.770000000000003</v>
      </c>
      <c r="R32" s="8">
        <v>36.36</v>
      </c>
      <c r="S32" s="8">
        <v>40.65</v>
      </c>
      <c r="T32" s="8">
        <v>38.47</v>
      </c>
      <c r="U32" s="8">
        <v>38.869999999999997</v>
      </c>
      <c r="V32" s="8">
        <v>36.119999999999997</v>
      </c>
      <c r="W32" s="8">
        <v>36.03</v>
      </c>
      <c r="X32" s="8">
        <v>37.22</v>
      </c>
      <c r="Y32" s="8">
        <v>36.86</v>
      </c>
      <c r="Z32" s="8">
        <v>39.92</v>
      </c>
      <c r="AA32" s="8">
        <v>34.78</v>
      </c>
      <c r="AB32" s="8">
        <v>49.4</v>
      </c>
      <c r="AC32" s="8">
        <v>84.73</v>
      </c>
      <c r="AD32" s="8">
        <v>108.68</v>
      </c>
      <c r="AE32" s="8">
        <v>98.22</v>
      </c>
    </row>
    <row r="33" spans="1:31" ht="11.35" customHeight="1" x14ac:dyDescent="0.45">
      <c r="A33" s="5" t="s">
        <v>65</v>
      </c>
      <c r="B33" s="9">
        <v>95.79</v>
      </c>
      <c r="C33" s="9">
        <v>100.71</v>
      </c>
      <c r="D33" s="9">
        <v>127.41</v>
      </c>
      <c r="E33" s="9">
        <v>167.05</v>
      </c>
      <c r="F33" s="9">
        <v>98.38</v>
      </c>
      <c r="G33" s="9">
        <v>136.53</v>
      </c>
      <c r="H33" s="9">
        <v>161.63</v>
      </c>
      <c r="I33" s="9">
        <v>152.51</v>
      </c>
      <c r="J33" s="9">
        <v>132.51</v>
      </c>
      <c r="K33" s="9">
        <v>83.76</v>
      </c>
      <c r="L33" s="9">
        <v>75.290000000000006</v>
      </c>
      <c r="M33" s="9">
        <v>80.72</v>
      </c>
      <c r="N33" s="9">
        <v>19.850000000000001</v>
      </c>
      <c r="O33" s="9">
        <v>14.5</v>
      </c>
      <c r="P33" s="9">
        <v>7.17</v>
      </c>
      <c r="Q33" s="9">
        <v>15.24</v>
      </c>
      <c r="R33" s="9">
        <v>11.65</v>
      </c>
      <c r="S33" s="9">
        <v>13.07</v>
      </c>
      <c r="T33" s="9">
        <v>11.11</v>
      </c>
      <c r="U33" s="9">
        <v>10.01</v>
      </c>
      <c r="V33" s="9">
        <v>8.2100000000000009</v>
      </c>
      <c r="W33" s="9">
        <v>10.47</v>
      </c>
      <c r="X33" s="9">
        <v>9.7799999999999994</v>
      </c>
      <c r="Y33" s="9">
        <v>9.4499999999999993</v>
      </c>
      <c r="Z33" s="9">
        <v>8.85</v>
      </c>
      <c r="AA33" s="9">
        <v>9.14</v>
      </c>
      <c r="AB33" s="9">
        <v>10.24</v>
      </c>
      <c r="AC33" s="9">
        <v>11.42</v>
      </c>
      <c r="AD33" s="9">
        <v>11.66</v>
      </c>
      <c r="AE33" s="9">
        <v>11.78</v>
      </c>
    </row>
    <row r="34" spans="1:31" ht="11.35" customHeight="1" x14ac:dyDescent="0.45">
      <c r="A34" s="5" t="s">
        <v>66</v>
      </c>
      <c r="B34" s="8">
        <v>10.8</v>
      </c>
      <c r="C34" s="8">
        <v>6.7</v>
      </c>
      <c r="D34" s="8">
        <v>7.76</v>
      </c>
      <c r="E34" s="8">
        <v>9.5500000000000007</v>
      </c>
      <c r="F34" s="8">
        <v>9.27</v>
      </c>
      <c r="G34" s="8">
        <v>13.21</v>
      </c>
      <c r="H34" s="8">
        <v>15.75</v>
      </c>
      <c r="I34" s="8">
        <v>38.369999999999997</v>
      </c>
      <c r="J34" s="8">
        <v>66.709999999999994</v>
      </c>
      <c r="K34" s="8">
        <v>61.65</v>
      </c>
      <c r="L34" s="8">
        <v>68.73</v>
      </c>
      <c r="M34" s="8">
        <v>58.59</v>
      </c>
      <c r="N34" s="8">
        <v>61.69</v>
      </c>
      <c r="O34" s="8">
        <v>61.96</v>
      </c>
      <c r="P34" s="8">
        <v>54.37</v>
      </c>
      <c r="Q34" s="8">
        <v>58.42</v>
      </c>
      <c r="R34" s="8">
        <v>60.19</v>
      </c>
      <c r="S34" s="8">
        <v>58.25</v>
      </c>
      <c r="T34" s="8">
        <v>60.09</v>
      </c>
      <c r="U34" s="8">
        <v>58.89</v>
      </c>
      <c r="V34" s="8">
        <v>60.83</v>
      </c>
      <c r="W34" s="8">
        <v>59.7</v>
      </c>
      <c r="X34" s="8">
        <v>55.27</v>
      </c>
      <c r="Y34" s="8">
        <v>55.52</v>
      </c>
      <c r="Z34" s="8">
        <v>55.68</v>
      </c>
      <c r="AA34" s="8">
        <v>56.8</v>
      </c>
      <c r="AB34" s="8">
        <v>55.14</v>
      </c>
      <c r="AC34" s="8">
        <v>55.43</v>
      </c>
      <c r="AD34" s="8">
        <v>54.61</v>
      </c>
      <c r="AE34" s="8">
        <v>55.11</v>
      </c>
    </row>
    <row r="35" spans="1:31" ht="11.35" customHeight="1" x14ac:dyDescent="0.45">
      <c r="A35" s="5" t="s">
        <v>67</v>
      </c>
      <c r="B35" s="9">
        <v>9.42</v>
      </c>
      <c r="C35" s="9">
        <v>9.6300000000000008</v>
      </c>
      <c r="D35" s="9">
        <v>9.82</v>
      </c>
      <c r="E35" s="9">
        <v>9.39</v>
      </c>
      <c r="F35" s="9">
        <v>8.31</v>
      </c>
      <c r="G35" s="9">
        <v>8.6</v>
      </c>
      <c r="H35" s="9">
        <v>8.44</v>
      </c>
      <c r="I35" s="9">
        <v>26.68</v>
      </c>
      <c r="J35" s="9">
        <v>30.41</v>
      </c>
      <c r="K35" s="9">
        <v>31.38</v>
      </c>
      <c r="L35" s="9">
        <v>35.1</v>
      </c>
      <c r="M35" s="9">
        <v>51.58</v>
      </c>
      <c r="N35" s="9">
        <v>59.22</v>
      </c>
      <c r="O35" s="9">
        <v>42.24</v>
      </c>
      <c r="P35" s="9">
        <v>39.82</v>
      </c>
      <c r="Q35" s="9">
        <v>37.28</v>
      </c>
      <c r="R35" s="9">
        <v>35.369999999999997</v>
      </c>
      <c r="S35" s="9">
        <v>34.42</v>
      </c>
      <c r="T35" s="9">
        <v>31.94</v>
      </c>
      <c r="U35" s="9">
        <v>30.91</v>
      </c>
      <c r="V35" s="9">
        <v>31.47</v>
      </c>
      <c r="W35" s="9">
        <v>32.14</v>
      </c>
      <c r="X35" s="9">
        <v>28.59</v>
      </c>
      <c r="Y35" s="9">
        <v>28.59</v>
      </c>
      <c r="Z35" s="9">
        <v>28.69</v>
      </c>
      <c r="AA35" s="9">
        <v>25.91</v>
      </c>
      <c r="AB35" s="9">
        <v>25.8</v>
      </c>
      <c r="AC35" s="9">
        <v>27.22</v>
      </c>
      <c r="AD35" s="9">
        <v>26.46</v>
      </c>
      <c r="AE35" s="9">
        <v>18.93</v>
      </c>
    </row>
    <row r="36" spans="1:31" ht="11.35" customHeight="1" x14ac:dyDescent="0.45">
      <c r="A36" s="5" t="s">
        <v>68</v>
      </c>
      <c r="B36" s="6">
        <v>25</v>
      </c>
      <c r="C36" s="8">
        <v>30.61</v>
      </c>
      <c r="D36" s="8">
        <v>44.49</v>
      </c>
      <c r="E36" s="8">
        <v>54.66</v>
      </c>
      <c r="F36" s="6">
        <v>59</v>
      </c>
      <c r="G36" s="6">
        <v>58</v>
      </c>
      <c r="H36" s="6">
        <v>58</v>
      </c>
      <c r="I36" s="6">
        <v>62</v>
      </c>
      <c r="J36" s="6">
        <v>73</v>
      </c>
      <c r="K36" s="6">
        <v>75</v>
      </c>
      <c r="L36" s="6">
        <v>105</v>
      </c>
      <c r="M36" s="6">
        <v>117</v>
      </c>
      <c r="N36" s="6">
        <v>126</v>
      </c>
      <c r="O36" s="6">
        <v>103</v>
      </c>
      <c r="P36" s="6">
        <v>92</v>
      </c>
      <c r="Q36" s="6">
        <v>103</v>
      </c>
      <c r="R36" s="6">
        <v>131</v>
      </c>
      <c r="S36" s="6">
        <v>122</v>
      </c>
      <c r="T36" s="6">
        <v>125</v>
      </c>
      <c r="U36" s="6">
        <v>109</v>
      </c>
      <c r="V36" s="6">
        <v>97</v>
      </c>
      <c r="W36" s="6">
        <v>73</v>
      </c>
      <c r="X36" s="6">
        <v>62</v>
      </c>
      <c r="Y36" s="6">
        <v>65</v>
      </c>
      <c r="Z36" s="6">
        <v>55</v>
      </c>
      <c r="AA36" s="6">
        <v>53</v>
      </c>
      <c r="AB36" s="6">
        <v>48</v>
      </c>
      <c r="AC36" s="6">
        <v>45</v>
      </c>
      <c r="AD36" s="6">
        <v>44</v>
      </c>
      <c r="AE36" s="6">
        <v>40</v>
      </c>
    </row>
    <row r="37" spans="1:31" ht="11.35" customHeight="1" x14ac:dyDescent="0.45">
      <c r="A37" s="5" t="s">
        <v>69</v>
      </c>
      <c r="B37" s="9">
        <v>130.72999999999999</v>
      </c>
      <c r="C37" s="9">
        <v>178.98</v>
      </c>
      <c r="D37" s="9">
        <v>154.66</v>
      </c>
      <c r="E37" s="9">
        <v>155.22999999999999</v>
      </c>
      <c r="F37" s="9">
        <v>158.61000000000001</v>
      </c>
      <c r="G37" s="9">
        <v>289.04000000000002</v>
      </c>
      <c r="H37" s="9">
        <v>250.78</v>
      </c>
      <c r="I37" s="9">
        <v>251.83</v>
      </c>
      <c r="J37" s="9">
        <v>257.12</v>
      </c>
      <c r="K37" s="9">
        <v>238.26</v>
      </c>
      <c r="L37" s="9">
        <v>210.29</v>
      </c>
      <c r="M37" s="9">
        <v>215.9</v>
      </c>
      <c r="N37" s="9">
        <v>212.75</v>
      </c>
      <c r="O37" s="9">
        <v>179.3</v>
      </c>
      <c r="P37" s="9">
        <v>128.07</v>
      </c>
      <c r="Q37" s="9">
        <v>136.41</v>
      </c>
      <c r="R37" s="9">
        <v>143.97</v>
      </c>
      <c r="S37" s="9">
        <v>133.5</v>
      </c>
      <c r="T37" s="9">
        <v>119.29</v>
      </c>
      <c r="U37" s="9">
        <v>120.57</v>
      </c>
      <c r="V37" s="9">
        <v>127.65</v>
      </c>
      <c r="W37" s="9">
        <v>127.58</v>
      </c>
      <c r="X37" s="9">
        <v>192.73</v>
      </c>
      <c r="Y37" s="9">
        <v>248.58</v>
      </c>
      <c r="Z37" s="9">
        <v>252.24</v>
      </c>
      <c r="AA37" s="9">
        <v>286.02999999999997</v>
      </c>
      <c r="AB37" s="9">
        <v>331.54</v>
      </c>
      <c r="AC37" s="9">
        <v>326.45</v>
      </c>
      <c r="AD37" s="9">
        <v>289.23</v>
      </c>
      <c r="AE37" s="9">
        <v>331.51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97B0E-C47C-4E8B-A053-762D342EECCA}">
  <sheetPr codeName="Sheet5"/>
  <dimension ref="A1:AE38"/>
  <sheetViews>
    <sheetView tabSelected="1" workbookViewId="0">
      <selection activeCell="C28" sqref="C28"/>
    </sheetView>
  </sheetViews>
  <sheetFormatPr defaultRowHeight="14.25" x14ac:dyDescent="0.45"/>
  <cols>
    <col min="1" max="1" width="29.86328125" customWidth="1"/>
    <col min="2" max="31" width="9.9296875" customWidth="1"/>
  </cols>
  <sheetData>
    <row r="1" spans="1:31" ht="11.35" customHeight="1" x14ac:dyDescent="0.45">
      <c r="A1" s="2" t="s">
        <v>73</v>
      </c>
      <c r="B1" s="1" t="s">
        <v>74</v>
      </c>
    </row>
    <row r="2" spans="1:31" ht="11.35" customHeight="1" x14ac:dyDescent="0.45">
      <c r="A2" s="2" t="s">
        <v>1</v>
      </c>
      <c r="B2" s="2" t="s">
        <v>75</v>
      </c>
    </row>
    <row r="3" spans="1:31" ht="11.35" customHeight="1" x14ac:dyDescent="0.45">
      <c r="A3" s="2" t="s">
        <v>3</v>
      </c>
    </row>
    <row r="4" spans="1:31" ht="11.35" customHeight="1" x14ac:dyDescent="0.45"/>
    <row r="5" spans="1:31" ht="11.35" customHeight="1" x14ac:dyDescent="0.45">
      <c r="A5" s="1" t="s">
        <v>5</v>
      </c>
      <c r="B5" s="2" t="s">
        <v>6</v>
      </c>
    </row>
    <row r="6" spans="1:31" ht="11.35" customHeight="1" x14ac:dyDescent="0.45">
      <c r="A6" s="1" t="s">
        <v>9</v>
      </c>
      <c r="B6" s="2" t="s">
        <v>76</v>
      </c>
    </row>
    <row r="7" spans="1:31" ht="11.35" customHeight="1" x14ac:dyDescent="0.45">
      <c r="A7" s="1" t="s">
        <v>77</v>
      </c>
      <c r="B7" s="2" t="s">
        <v>78</v>
      </c>
    </row>
    <row r="8" spans="1:31" ht="11.35" customHeight="1" x14ac:dyDescent="0.45">
      <c r="A8" s="1" t="s">
        <v>79</v>
      </c>
      <c r="B8" s="2" t="s">
        <v>78</v>
      </c>
    </row>
    <row r="9" spans="1:31" ht="11.35" customHeight="1" x14ac:dyDescent="0.45"/>
    <row r="10" spans="1:31" ht="11.35" customHeight="1" x14ac:dyDescent="0.45">
      <c r="A10" s="4" t="s">
        <v>11</v>
      </c>
      <c r="B10" s="3" t="s">
        <v>12</v>
      </c>
      <c r="C10" s="3" t="s">
        <v>13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  <c r="J10" s="3" t="s">
        <v>20</v>
      </c>
      <c r="K10" s="3" t="s">
        <v>21</v>
      </c>
      <c r="L10" s="3" t="s">
        <v>22</v>
      </c>
      <c r="M10" s="3" t="s">
        <v>23</v>
      </c>
      <c r="N10" s="3" t="s">
        <v>24</v>
      </c>
      <c r="O10" s="3" t="s">
        <v>25</v>
      </c>
      <c r="P10" s="3" t="s">
        <v>26</v>
      </c>
      <c r="Q10" s="3" t="s">
        <v>27</v>
      </c>
      <c r="R10" s="3" t="s">
        <v>28</v>
      </c>
      <c r="S10" s="3" t="s">
        <v>29</v>
      </c>
      <c r="T10" s="3" t="s">
        <v>30</v>
      </c>
      <c r="U10" s="3" t="s">
        <v>31</v>
      </c>
      <c r="V10" s="3" t="s">
        <v>32</v>
      </c>
      <c r="W10" s="3" t="s">
        <v>33</v>
      </c>
      <c r="X10" s="3" t="s">
        <v>34</v>
      </c>
      <c r="Y10" s="3" t="s">
        <v>35</v>
      </c>
      <c r="Z10" s="3" t="s">
        <v>36</v>
      </c>
      <c r="AA10" s="3" t="s">
        <v>37</v>
      </c>
      <c r="AB10" s="3" t="s">
        <v>38</v>
      </c>
      <c r="AC10" s="3" t="s">
        <v>39</v>
      </c>
      <c r="AD10" s="3" t="s">
        <v>40</v>
      </c>
      <c r="AE10" s="3" t="s">
        <v>41</v>
      </c>
    </row>
    <row r="11" spans="1:31" ht="11.35" customHeight="1" x14ac:dyDescent="0.45">
      <c r="A11" s="5" t="s">
        <v>42</v>
      </c>
      <c r="B11" s="7">
        <v>423960534</v>
      </c>
      <c r="C11" s="7">
        <v>424641798</v>
      </c>
      <c r="D11" s="7">
        <v>425273491</v>
      </c>
      <c r="E11" s="7">
        <v>427482962</v>
      </c>
      <c r="F11" s="7">
        <v>427998269</v>
      </c>
      <c r="G11" s="7">
        <v>428473834</v>
      </c>
      <c r="H11" s="7">
        <v>429240746</v>
      </c>
      <c r="I11" s="7">
        <v>429723142</v>
      </c>
      <c r="J11" s="7">
        <v>431190184</v>
      </c>
      <c r="K11" s="7">
        <v>432762039</v>
      </c>
      <c r="L11" s="7">
        <v>434416272</v>
      </c>
      <c r="M11" s="7">
        <v>435816236</v>
      </c>
      <c r="N11" s="7">
        <v>437227496</v>
      </c>
      <c r="O11" s="7">
        <v>438725386</v>
      </c>
      <c r="P11" s="7">
        <v>440047892</v>
      </c>
      <c r="Q11" s="7">
        <v>440660421</v>
      </c>
      <c r="R11" s="7">
        <v>439942305</v>
      </c>
      <c r="S11" s="7">
        <v>440552661</v>
      </c>
      <c r="T11" s="7">
        <v>441739930</v>
      </c>
      <c r="U11" s="7">
        <v>442268078</v>
      </c>
      <c r="V11" s="7">
        <v>442924865</v>
      </c>
      <c r="W11" s="7">
        <v>444003268</v>
      </c>
      <c r="X11" s="7">
        <v>444670605</v>
      </c>
      <c r="Y11" s="7">
        <v>445301376</v>
      </c>
      <c r="Z11" s="7">
        <v>446149924</v>
      </c>
      <c r="AA11" s="7">
        <v>447030024</v>
      </c>
      <c r="AB11" s="7">
        <v>445891011</v>
      </c>
      <c r="AC11" s="7">
        <v>445972024</v>
      </c>
      <c r="AD11" s="7">
        <v>447695350</v>
      </c>
      <c r="AE11" s="7">
        <v>449306184</v>
      </c>
    </row>
    <row r="12" spans="1:31" ht="11.35" customHeight="1" x14ac:dyDescent="0.45">
      <c r="A12" s="5" t="s">
        <v>43</v>
      </c>
      <c r="B12" s="6">
        <v>10130574</v>
      </c>
      <c r="C12" s="6">
        <v>10143047</v>
      </c>
      <c r="D12" s="6">
        <v>10170226</v>
      </c>
      <c r="E12" s="6">
        <v>10192264</v>
      </c>
      <c r="F12" s="6">
        <v>10213752</v>
      </c>
      <c r="G12" s="6">
        <v>10239085</v>
      </c>
      <c r="H12" s="6">
        <v>10263414</v>
      </c>
      <c r="I12" s="6">
        <v>10309725</v>
      </c>
      <c r="J12" s="6">
        <v>10355844</v>
      </c>
      <c r="K12" s="6">
        <v>10396421</v>
      </c>
      <c r="L12" s="6">
        <v>10445852</v>
      </c>
      <c r="M12" s="6">
        <v>10511382</v>
      </c>
      <c r="N12" s="6">
        <v>10584534</v>
      </c>
      <c r="O12" s="6">
        <v>10666866</v>
      </c>
      <c r="P12" s="6">
        <v>10753080</v>
      </c>
      <c r="Q12" s="6">
        <v>10839905</v>
      </c>
      <c r="R12" s="6">
        <v>11000638</v>
      </c>
      <c r="S12" s="6">
        <v>11075889</v>
      </c>
      <c r="T12" s="6">
        <v>11137974</v>
      </c>
      <c r="U12" s="6">
        <v>11180840</v>
      </c>
      <c r="V12" s="6">
        <v>11237274</v>
      </c>
      <c r="W12" s="6">
        <v>11311117</v>
      </c>
      <c r="X12" s="6">
        <v>11351727</v>
      </c>
      <c r="Y12" s="6">
        <v>11398589</v>
      </c>
      <c r="Z12" s="6">
        <v>11455519</v>
      </c>
      <c r="AA12" s="6">
        <v>11522440</v>
      </c>
      <c r="AB12" s="6">
        <v>11554767</v>
      </c>
      <c r="AC12" s="6">
        <v>11617623</v>
      </c>
      <c r="AD12" s="6">
        <v>11742796</v>
      </c>
      <c r="AE12" s="6">
        <v>11817096</v>
      </c>
    </row>
    <row r="13" spans="1:31" ht="11.35" customHeight="1" x14ac:dyDescent="0.45">
      <c r="A13" s="5" t="s">
        <v>44</v>
      </c>
      <c r="B13" s="7">
        <v>8427418</v>
      </c>
      <c r="C13" s="7">
        <v>8384715</v>
      </c>
      <c r="D13" s="7">
        <v>8340936</v>
      </c>
      <c r="E13" s="7">
        <v>8283200</v>
      </c>
      <c r="F13" s="7">
        <v>8230371</v>
      </c>
      <c r="G13" s="7">
        <v>8190876</v>
      </c>
      <c r="H13" s="7">
        <v>8149468</v>
      </c>
      <c r="I13" s="7">
        <v>7868815</v>
      </c>
      <c r="J13" s="7">
        <v>7805506</v>
      </c>
      <c r="K13" s="7">
        <v>7745147</v>
      </c>
      <c r="L13" s="7">
        <v>7688573</v>
      </c>
      <c r="M13" s="7">
        <v>7629371</v>
      </c>
      <c r="N13" s="7">
        <v>7572673</v>
      </c>
      <c r="O13" s="7">
        <v>7518002</v>
      </c>
      <c r="P13" s="7">
        <v>7467119</v>
      </c>
      <c r="Q13" s="7">
        <v>7421766</v>
      </c>
      <c r="R13" s="7">
        <v>7369431</v>
      </c>
      <c r="S13" s="7">
        <v>7327224</v>
      </c>
      <c r="T13" s="7">
        <v>7202556</v>
      </c>
      <c r="U13" s="7">
        <v>7117453</v>
      </c>
      <c r="V13" s="7">
        <v>7029690</v>
      </c>
      <c r="W13" s="7">
        <v>6938759</v>
      </c>
      <c r="X13" s="7">
        <v>6849518</v>
      </c>
      <c r="Y13" s="7">
        <v>6757418</v>
      </c>
      <c r="Z13" s="7">
        <v>6664177</v>
      </c>
      <c r="AA13" s="7">
        <v>6569275</v>
      </c>
      <c r="AB13" s="7">
        <v>6532117</v>
      </c>
      <c r="AC13" s="7">
        <v>6482484</v>
      </c>
      <c r="AD13" s="7">
        <v>6447710</v>
      </c>
      <c r="AE13" s="7">
        <v>6445481</v>
      </c>
    </row>
    <row r="14" spans="1:31" ht="11.35" customHeight="1" x14ac:dyDescent="0.45">
      <c r="A14" s="5" t="s">
        <v>45</v>
      </c>
      <c r="B14" s="6">
        <v>10333161</v>
      </c>
      <c r="C14" s="6">
        <v>10321344</v>
      </c>
      <c r="D14" s="6">
        <v>10309137</v>
      </c>
      <c r="E14" s="6">
        <v>10299125</v>
      </c>
      <c r="F14" s="6">
        <v>10289621</v>
      </c>
      <c r="G14" s="6">
        <v>10278098</v>
      </c>
      <c r="H14" s="6">
        <v>10232027</v>
      </c>
      <c r="I14" s="6">
        <v>10201182</v>
      </c>
      <c r="J14" s="6">
        <v>10192649</v>
      </c>
      <c r="K14" s="6">
        <v>10195347</v>
      </c>
      <c r="L14" s="6">
        <v>10198855</v>
      </c>
      <c r="M14" s="6">
        <v>10223577</v>
      </c>
      <c r="N14" s="6">
        <v>10254233</v>
      </c>
      <c r="O14" s="6">
        <v>10343422</v>
      </c>
      <c r="P14" s="6">
        <v>10425783</v>
      </c>
      <c r="Q14" s="6">
        <v>10462088</v>
      </c>
      <c r="R14" s="6">
        <v>10486731</v>
      </c>
      <c r="S14" s="6">
        <v>10505445</v>
      </c>
      <c r="T14" s="6">
        <v>10516125</v>
      </c>
      <c r="U14" s="6">
        <v>10512419</v>
      </c>
      <c r="V14" s="6">
        <v>10538275</v>
      </c>
      <c r="W14" s="6">
        <v>10553843</v>
      </c>
      <c r="X14" s="6">
        <v>10578820</v>
      </c>
      <c r="Y14" s="6">
        <v>10610055</v>
      </c>
      <c r="Z14" s="6">
        <v>10649800</v>
      </c>
      <c r="AA14" s="6">
        <v>10693939</v>
      </c>
      <c r="AB14" s="6">
        <v>10494836</v>
      </c>
      <c r="AC14" s="6">
        <v>10516707</v>
      </c>
      <c r="AD14" s="6">
        <v>10827529</v>
      </c>
      <c r="AE14" s="6">
        <v>10900555</v>
      </c>
    </row>
    <row r="15" spans="1:31" ht="11.35" customHeight="1" x14ac:dyDescent="0.45">
      <c r="A15" s="5" t="s">
        <v>46</v>
      </c>
      <c r="B15" s="7">
        <v>5215718</v>
      </c>
      <c r="C15" s="7">
        <v>5251027</v>
      </c>
      <c r="D15" s="7">
        <v>5275121</v>
      </c>
      <c r="E15" s="7">
        <v>5294860</v>
      </c>
      <c r="F15" s="7">
        <v>5313577</v>
      </c>
      <c r="G15" s="7">
        <v>5330020</v>
      </c>
      <c r="H15" s="7">
        <v>5349212</v>
      </c>
      <c r="I15" s="7">
        <v>5368354</v>
      </c>
      <c r="J15" s="7">
        <v>5383507</v>
      </c>
      <c r="K15" s="7">
        <v>5397640</v>
      </c>
      <c r="L15" s="7">
        <v>5411405</v>
      </c>
      <c r="M15" s="7">
        <v>5427459</v>
      </c>
      <c r="N15" s="7">
        <v>5447084</v>
      </c>
      <c r="O15" s="7">
        <v>5475791</v>
      </c>
      <c r="P15" s="7">
        <v>5511451</v>
      </c>
      <c r="Q15" s="7">
        <v>5534738</v>
      </c>
      <c r="R15" s="7">
        <v>5560628</v>
      </c>
      <c r="S15" s="7">
        <v>5580516</v>
      </c>
      <c r="T15" s="7">
        <v>5602628</v>
      </c>
      <c r="U15" s="7">
        <v>5627235</v>
      </c>
      <c r="V15" s="7">
        <v>5659715</v>
      </c>
      <c r="W15" s="7">
        <v>5707251</v>
      </c>
      <c r="X15" s="7">
        <v>5748769</v>
      </c>
      <c r="Y15" s="7">
        <v>5781190</v>
      </c>
      <c r="Z15" s="7">
        <v>5806081</v>
      </c>
      <c r="AA15" s="7">
        <v>5822763</v>
      </c>
      <c r="AB15" s="7">
        <v>5840045</v>
      </c>
      <c r="AC15" s="7">
        <v>5873420</v>
      </c>
      <c r="AD15" s="7">
        <v>5932654</v>
      </c>
      <c r="AE15" s="7">
        <v>5961249</v>
      </c>
    </row>
    <row r="16" spans="1:31" ht="11.35" customHeight="1" x14ac:dyDescent="0.45">
      <c r="A16" s="5" t="s">
        <v>47</v>
      </c>
      <c r="B16" s="6">
        <v>81538603</v>
      </c>
      <c r="C16" s="6">
        <v>81817499</v>
      </c>
      <c r="D16" s="6">
        <v>82012162</v>
      </c>
      <c r="E16" s="6">
        <v>82057379</v>
      </c>
      <c r="F16" s="6">
        <v>82037011</v>
      </c>
      <c r="G16" s="6">
        <v>82163475</v>
      </c>
      <c r="H16" s="6">
        <v>82259540</v>
      </c>
      <c r="I16" s="6">
        <v>82440309</v>
      </c>
      <c r="J16" s="6">
        <v>82536680</v>
      </c>
      <c r="K16" s="6">
        <v>82531671</v>
      </c>
      <c r="L16" s="6">
        <v>82500849</v>
      </c>
      <c r="M16" s="6">
        <v>82437995</v>
      </c>
      <c r="N16" s="6">
        <v>82314906</v>
      </c>
      <c r="O16" s="6">
        <v>82217837</v>
      </c>
      <c r="P16" s="6">
        <v>82002356</v>
      </c>
      <c r="Q16" s="6">
        <v>81802257</v>
      </c>
      <c r="R16" s="6">
        <v>80222065</v>
      </c>
      <c r="S16" s="6">
        <v>80327900</v>
      </c>
      <c r="T16" s="6">
        <v>80523746</v>
      </c>
      <c r="U16" s="6">
        <v>80767463</v>
      </c>
      <c r="V16" s="6">
        <v>81197537</v>
      </c>
      <c r="W16" s="6">
        <v>82175684</v>
      </c>
      <c r="X16" s="6">
        <v>82521653</v>
      </c>
      <c r="Y16" s="6">
        <v>82792351</v>
      </c>
      <c r="Z16" s="6">
        <v>83019213</v>
      </c>
      <c r="AA16" s="6">
        <v>83166711</v>
      </c>
      <c r="AB16" s="6">
        <v>83155031</v>
      </c>
      <c r="AC16" s="6">
        <v>83237124</v>
      </c>
      <c r="AD16" s="6">
        <v>83118501</v>
      </c>
      <c r="AE16" s="6">
        <v>83456045</v>
      </c>
    </row>
    <row r="17" spans="1:31" ht="11.35" customHeight="1" x14ac:dyDescent="0.45">
      <c r="A17" s="5" t="s">
        <v>48</v>
      </c>
      <c r="B17" s="6">
        <v>1448075</v>
      </c>
      <c r="C17" s="6">
        <v>1425192</v>
      </c>
      <c r="D17" s="6">
        <v>1405996</v>
      </c>
      <c r="E17" s="6">
        <v>1393074</v>
      </c>
      <c r="F17" s="6">
        <v>1379237</v>
      </c>
      <c r="G17" s="6">
        <v>1401250</v>
      </c>
      <c r="H17" s="6">
        <v>1392720</v>
      </c>
      <c r="I17" s="6">
        <v>1383510</v>
      </c>
      <c r="J17" s="6">
        <v>1375190</v>
      </c>
      <c r="K17" s="6">
        <v>1366250</v>
      </c>
      <c r="L17" s="6">
        <v>1358850</v>
      </c>
      <c r="M17" s="6">
        <v>1350700</v>
      </c>
      <c r="N17" s="6">
        <v>1342920</v>
      </c>
      <c r="O17" s="6">
        <v>1338440</v>
      </c>
      <c r="P17" s="6">
        <v>1335740</v>
      </c>
      <c r="Q17" s="6">
        <v>1333290</v>
      </c>
      <c r="R17" s="6">
        <v>1329660</v>
      </c>
      <c r="S17" s="6">
        <v>1325217</v>
      </c>
      <c r="T17" s="6">
        <v>1320174</v>
      </c>
      <c r="U17" s="6">
        <v>1315819</v>
      </c>
      <c r="V17" s="6">
        <v>1314870</v>
      </c>
      <c r="W17" s="6">
        <v>1315944</v>
      </c>
      <c r="X17" s="6">
        <v>1315635</v>
      </c>
      <c r="Y17" s="6">
        <v>1319133</v>
      </c>
      <c r="Z17" s="6">
        <v>1324820</v>
      </c>
      <c r="AA17" s="6">
        <v>1328976</v>
      </c>
      <c r="AB17" s="6">
        <v>1330068</v>
      </c>
      <c r="AC17" s="6">
        <v>1331796</v>
      </c>
      <c r="AD17" s="6">
        <v>1365884</v>
      </c>
      <c r="AE17" s="6">
        <v>1374687</v>
      </c>
    </row>
    <row r="18" spans="1:31" ht="11.35" customHeight="1" x14ac:dyDescent="0.45">
      <c r="A18" s="5" t="s">
        <v>49</v>
      </c>
      <c r="B18" s="7">
        <v>3597617</v>
      </c>
      <c r="C18" s="7">
        <v>3620065</v>
      </c>
      <c r="D18" s="7">
        <v>3654955</v>
      </c>
      <c r="E18" s="7">
        <v>3693386</v>
      </c>
      <c r="F18" s="7">
        <v>3732006</v>
      </c>
      <c r="G18" s="7">
        <v>3777565</v>
      </c>
      <c r="H18" s="7">
        <v>3832783</v>
      </c>
      <c r="I18" s="7">
        <v>3899702</v>
      </c>
      <c r="J18" s="7">
        <v>3964191</v>
      </c>
      <c r="K18" s="7">
        <v>4028851</v>
      </c>
      <c r="L18" s="7">
        <v>4111672</v>
      </c>
      <c r="M18" s="7">
        <v>4208156</v>
      </c>
      <c r="N18" s="7">
        <v>4340118</v>
      </c>
      <c r="O18" s="7">
        <v>4457765</v>
      </c>
      <c r="P18" s="7">
        <v>4521322</v>
      </c>
      <c r="Q18" s="7">
        <v>4549428</v>
      </c>
      <c r="R18" s="7">
        <v>4570881</v>
      </c>
      <c r="S18" s="7">
        <v>4589287</v>
      </c>
      <c r="T18" s="7">
        <v>4609779</v>
      </c>
      <c r="U18" s="7">
        <v>4637852</v>
      </c>
      <c r="V18" s="7">
        <v>4677627</v>
      </c>
      <c r="W18" s="7">
        <v>4726286</v>
      </c>
      <c r="X18" s="7">
        <v>4799157</v>
      </c>
      <c r="Y18" s="7">
        <v>4855733</v>
      </c>
      <c r="Z18" s="7">
        <v>4940311</v>
      </c>
      <c r="AA18" s="7">
        <v>5012600</v>
      </c>
      <c r="AB18" s="7">
        <v>5066893</v>
      </c>
      <c r="AC18" s="7">
        <v>5154277</v>
      </c>
      <c r="AD18" s="7">
        <v>5271395</v>
      </c>
      <c r="AE18" s="7">
        <v>5351681</v>
      </c>
    </row>
    <row r="19" spans="1:31" ht="11.35" customHeight="1" x14ac:dyDescent="0.45">
      <c r="A19" s="5" t="s">
        <v>50</v>
      </c>
      <c r="B19" s="6">
        <v>10535973</v>
      </c>
      <c r="C19" s="6">
        <v>10588332</v>
      </c>
      <c r="D19" s="6">
        <v>10629267</v>
      </c>
      <c r="E19" s="6">
        <v>10693250</v>
      </c>
      <c r="F19" s="6">
        <v>10747768</v>
      </c>
      <c r="G19" s="6">
        <v>10775627</v>
      </c>
      <c r="H19" s="6">
        <v>10835989</v>
      </c>
      <c r="I19" s="6">
        <v>10888274</v>
      </c>
      <c r="J19" s="6">
        <v>10915770</v>
      </c>
      <c r="K19" s="6">
        <v>10940369</v>
      </c>
      <c r="L19" s="6">
        <v>10969912</v>
      </c>
      <c r="M19" s="6">
        <v>11004716</v>
      </c>
      <c r="N19" s="6">
        <v>11036008</v>
      </c>
      <c r="O19" s="6">
        <v>11060937</v>
      </c>
      <c r="P19" s="6">
        <v>11094745</v>
      </c>
      <c r="Q19" s="6">
        <v>11119289</v>
      </c>
      <c r="R19" s="6">
        <v>11123392</v>
      </c>
      <c r="S19" s="6">
        <v>11072725</v>
      </c>
      <c r="T19" s="6">
        <v>10980006</v>
      </c>
      <c r="U19" s="6">
        <v>10894294</v>
      </c>
      <c r="V19" s="6">
        <v>10818041</v>
      </c>
      <c r="W19" s="6">
        <v>10735415</v>
      </c>
      <c r="X19" s="6">
        <v>10707527</v>
      </c>
      <c r="Y19" s="6">
        <v>10667336</v>
      </c>
      <c r="Z19" s="6">
        <v>10635213</v>
      </c>
      <c r="AA19" s="6">
        <v>10612591</v>
      </c>
      <c r="AB19" s="6">
        <v>10555344</v>
      </c>
      <c r="AC19" s="6">
        <v>10461627</v>
      </c>
      <c r="AD19" s="6">
        <v>10401868</v>
      </c>
      <c r="AE19" s="6">
        <v>10375764</v>
      </c>
    </row>
    <row r="20" spans="1:31" ht="11.35" customHeight="1" x14ac:dyDescent="0.45">
      <c r="A20" s="5" t="s">
        <v>51</v>
      </c>
      <c r="B20" s="7">
        <v>39639726</v>
      </c>
      <c r="C20" s="7">
        <v>39808374</v>
      </c>
      <c r="D20" s="7">
        <v>39971329</v>
      </c>
      <c r="E20" s="7">
        <v>40143449</v>
      </c>
      <c r="F20" s="7">
        <v>40303568</v>
      </c>
      <c r="G20" s="7">
        <v>40470182</v>
      </c>
      <c r="H20" s="7">
        <v>40665545</v>
      </c>
      <c r="I20" s="7">
        <v>41035278</v>
      </c>
      <c r="J20" s="7">
        <v>41827838</v>
      </c>
      <c r="K20" s="7">
        <v>42547451</v>
      </c>
      <c r="L20" s="7">
        <v>43296338</v>
      </c>
      <c r="M20" s="7">
        <v>44009971</v>
      </c>
      <c r="N20" s="7">
        <v>44784666</v>
      </c>
      <c r="O20" s="7">
        <v>45668939</v>
      </c>
      <c r="P20" s="7">
        <v>46239273</v>
      </c>
      <c r="Q20" s="7">
        <v>46486619</v>
      </c>
      <c r="R20" s="7">
        <v>46667174</v>
      </c>
      <c r="S20" s="7">
        <v>46818219</v>
      </c>
      <c r="T20" s="7">
        <v>46712650</v>
      </c>
      <c r="U20" s="7">
        <v>46495744</v>
      </c>
      <c r="V20" s="7">
        <v>46425722</v>
      </c>
      <c r="W20" s="7">
        <v>46418884</v>
      </c>
      <c r="X20" s="7">
        <v>46497393</v>
      </c>
      <c r="Y20" s="7">
        <v>46645070</v>
      </c>
      <c r="Z20" s="7">
        <v>46918951</v>
      </c>
      <c r="AA20" s="7">
        <v>47318050</v>
      </c>
      <c r="AB20" s="7">
        <v>47400798</v>
      </c>
      <c r="AC20" s="7">
        <v>47486843</v>
      </c>
      <c r="AD20" s="7">
        <v>48085361</v>
      </c>
      <c r="AE20" s="7">
        <v>48619695</v>
      </c>
    </row>
    <row r="21" spans="1:31" ht="11.35" customHeight="1" x14ac:dyDescent="0.45">
      <c r="A21" s="5" t="s">
        <v>52</v>
      </c>
      <c r="B21" s="6">
        <v>59315139</v>
      </c>
      <c r="C21" s="6">
        <v>59522297</v>
      </c>
      <c r="D21" s="6">
        <v>59726386</v>
      </c>
      <c r="E21" s="6">
        <v>59934884</v>
      </c>
      <c r="F21" s="6">
        <v>60158533</v>
      </c>
      <c r="G21" s="6">
        <v>60545022</v>
      </c>
      <c r="H21" s="6">
        <v>60979315</v>
      </c>
      <c r="I21" s="6">
        <v>61424036</v>
      </c>
      <c r="J21" s="6">
        <v>61864088</v>
      </c>
      <c r="K21" s="6">
        <v>62292241</v>
      </c>
      <c r="L21" s="6">
        <v>62772870</v>
      </c>
      <c r="M21" s="6">
        <v>63229635</v>
      </c>
      <c r="N21" s="6">
        <v>63645065</v>
      </c>
      <c r="O21" s="6">
        <v>64007193</v>
      </c>
      <c r="P21" s="6">
        <v>64350226</v>
      </c>
      <c r="Q21" s="6">
        <v>64658856</v>
      </c>
      <c r="R21" s="6">
        <v>64978721</v>
      </c>
      <c r="S21" s="6">
        <v>65276983</v>
      </c>
      <c r="T21" s="6">
        <v>65600350</v>
      </c>
      <c r="U21" s="6">
        <v>66165980</v>
      </c>
      <c r="V21" s="6">
        <v>66458153</v>
      </c>
      <c r="W21" s="6">
        <v>66638391</v>
      </c>
      <c r="X21" s="6">
        <v>66809816</v>
      </c>
      <c r="Y21" s="6">
        <v>67026224</v>
      </c>
      <c r="Z21" s="6">
        <v>67290471</v>
      </c>
      <c r="AA21" s="6">
        <v>67473651</v>
      </c>
      <c r="AB21" s="6">
        <v>67728568</v>
      </c>
      <c r="AC21" s="6">
        <v>68091703</v>
      </c>
      <c r="AD21" s="6">
        <v>68277210</v>
      </c>
      <c r="AE21" s="6">
        <v>68669303</v>
      </c>
    </row>
    <row r="22" spans="1:31" ht="11.35" customHeight="1" x14ac:dyDescent="0.45">
      <c r="A22" s="5" t="s">
        <v>53</v>
      </c>
      <c r="B22" s="6">
        <v>4658893</v>
      </c>
      <c r="C22" s="6">
        <v>4581167</v>
      </c>
      <c r="D22" s="6">
        <v>4533028</v>
      </c>
      <c r="E22" s="6">
        <v>4536812</v>
      </c>
      <c r="F22" s="6">
        <v>4527460</v>
      </c>
      <c r="G22" s="6">
        <v>4497735</v>
      </c>
      <c r="H22" s="6">
        <v>4295406</v>
      </c>
      <c r="I22" s="6">
        <v>4305494</v>
      </c>
      <c r="J22" s="6">
        <v>4305384</v>
      </c>
      <c r="K22" s="6">
        <v>4305725</v>
      </c>
      <c r="L22" s="6">
        <v>4310861</v>
      </c>
      <c r="M22" s="6">
        <v>4312487</v>
      </c>
      <c r="N22" s="6">
        <v>4313530</v>
      </c>
      <c r="O22" s="6">
        <v>4311967</v>
      </c>
      <c r="P22" s="6">
        <v>4309796</v>
      </c>
      <c r="Q22" s="6">
        <v>4302847</v>
      </c>
      <c r="R22" s="6">
        <v>4289857</v>
      </c>
      <c r="S22" s="6">
        <v>4275984</v>
      </c>
      <c r="T22" s="6">
        <v>4247803</v>
      </c>
      <c r="U22" s="6">
        <v>4217632</v>
      </c>
      <c r="V22" s="6">
        <v>4180915</v>
      </c>
      <c r="W22" s="6">
        <v>4131115</v>
      </c>
      <c r="X22" s="6">
        <v>4078769</v>
      </c>
      <c r="Y22" s="6">
        <v>4014341</v>
      </c>
      <c r="Z22" s="6">
        <v>3968676</v>
      </c>
      <c r="AA22" s="6">
        <v>3933511</v>
      </c>
      <c r="AB22" s="6">
        <v>3893026</v>
      </c>
      <c r="AC22" s="6">
        <v>3862305</v>
      </c>
      <c r="AD22" s="6">
        <v>3850894</v>
      </c>
      <c r="AE22" s="6">
        <v>3861967</v>
      </c>
    </row>
    <row r="23" spans="1:31" ht="11.35" customHeight="1" x14ac:dyDescent="0.45">
      <c r="A23" s="5" t="s">
        <v>54</v>
      </c>
      <c r="B23" s="7">
        <v>56844408</v>
      </c>
      <c r="C23" s="7">
        <v>56844197</v>
      </c>
      <c r="D23" s="7">
        <v>56876364</v>
      </c>
      <c r="E23" s="7">
        <v>56904379</v>
      </c>
      <c r="F23" s="7">
        <v>56909109</v>
      </c>
      <c r="G23" s="7">
        <v>56923524</v>
      </c>
      <c r="H23" s="7">
        <v>56960692</v>
      </c>
      <c r="I23" s="7">
        <v>56993270</v>
      </c>
      <c r="J23" s="7">
        <v>57186378</v>
      </c>
      <c r="K23" s="7">
        <v>57611990</v>
      </c>
      <c r="L23" s="7">
        <v>58044368</v>
      </c>
      <c r="M23" s="7">
        <v>58288996</v>
      </c>
      <c r="N23" s="7">
        <v>58510725</v>
      </c>
      <c r="O23" s="7">
        <v>59001769</v>
      </c>
      <c r="P23" s="7">
        <v>59420592</v>
      </c>
      <c r="Q23" s="7">
        <v>59690316</v>
      </c>
      <c r="R23" s="7">
        <v>59948497</v>
      </c>
      <c r="S23" s="7">
        <v>60105185</v>
      </c>
      <c r="T23" s="7">
        <v>60277309</v>
      </c>
      <c r="U23" s="7">
        <v>60345917</v>
      </c>
      <c r="V23" s="7">
        <v>60295497</v>
      </c>
      <c r="W23" s="7">
        <v>60163712</v>
      </c>
      <c r="X23" s="7">
        <v>60066734</v>
      </c>
      <c r="Y23" s="7">
        <v>59937769</v>
      </c>
      <c r="Z23" s="7">
        <v>59816673</v>
      </c>
      <c r="AA23" s="7">
        <v>59641488</v>
      </c>
      <c r="AB23" s="7">
        <v>59236213</v>
      </c>
      <c r="AC23" s="7">
        <v>59030133</v>
      </c>
      <c r="AD23" s="7">
        <v>58997201</v>
      </c>
      <c r="AE23" s="7">
        <v>58971230</v>
      </c>
    </row>
    <row r="24" spans="1:31" ht="11.35" customHeight="1" x14ac:dyDescent="0.45">
      <c r="A24" s="5" t="s">
        <v>55</v>
      </c>
      <c r="B24" s="6">
        <v>645399</v>
      </c>
      <c r="C24" s="6">
        <v>656333</v>
      </c>
      <c r="D24" s="6">
        <v>666313</v>
      </c>
      <c r="E24" s="6">
        <v>675215</v>
      </c>
      <c r="F24" s="6">
        <v>682862</v>
      </c>
      <c r="G24" s="6">
        <v>690497</v>
      </c>
      <c r="H24" s="6">
        <v>697549</v>
      </c>
      <c r="I24" s="6">
        <v>705539</v>
      </c>
      <c r="J24" s="6">
        <v>713720</v>
      </c>
      <c r="K24" s="6">
        <v>722893</v>
      </c>
      <c r="L24" s="6">
        <v>733067</v>
      </c>
      <c r="M24" s="6">
        <v>744013</v>
      </c>
      <c r="N24" s="6">
        <v>757916</v>
      </c>
      <c r="O24" s="6">
        <v>776333</v>
      </c>
      <c r="P24" s="6">
        <v>796930</v>
      </c>
      <c r="Q24" s="6">
        <v>819140</v>
      </c>
      <c r="R24" s="6">
        <v>839751</v>
      </c>
      <c r="S24" s="6">
        <v>862011</v>
      </c>
      <c r="T24" s="6">
        <v>862854</v>
      </c>
      <c r="U24" s="6">
        <v>860032</v>
      </c>
      <c r="V24" s="6">
        <v>860846</v>
      </c>
      <c r="W24" s="6">
        <v>863764</v>
      </c>
      <c r="X24" s="6">
        <v>869878</v>
      </c>
      <c r="Y24" s="6">
        <v>878601</v>
      </c>
      <c r="Z24" s="6">
        <v>890194</v>
      </c>
      <c r="AA24" s="6">
        <v>902429</v>
      </c>
      <c r="AB24" s="6">
        <v>914476</v>
      </c>
      <c r="AC24" s="6">
        <v>929764</v>
      </c>
      <c r="AD24" s="6">
        <v>949084</v>
      </c>
      <c r="AE24" s="6">
        <v>966365</v>
      </c>
    </row>
    <row r="25" spans="1:31" ht="11.35" customHeight="1" x14ac:dyDescent="0.45">
      <c r="A25" s="5" t="s">
        <v>56</v>
      </c>
      <c r="B25" s="7">
        <v>2500580</v>
      </c>
      <c r="C25" s="7">
        <v>2469531</v>
      </c>
      <c r="D25" s="7">
        <v>2444912</v>
      </c>
      <c r="E25" s="7">
        <v>2420789</v>
      </c>
      <c r="F25" s="7">
        <v>2399248</v>
      </c>
      <c r="G25" s="7">
        <v>2381715</v>
      </c>
      <c r="H25" s="7">
        <v>2353384</v>
      </c>
      <c r="I25" s="7">
        <v>2320956</v>
      </c>
      <c r="J25" s="7">
        <v>2299390</v>
      </c>
      <c r="K25" s="7">
        <v>2276520</v>
      </c>
      <c r="L25" s="7">
        <v>2249724</v>
      </c>
      <c r="M25" s="7">
        <v>2227874</v>
      </c>
      <c r="N25" s="7">
        <v>2208840</v>
      </c>
      <c r="O25" s="7">
        <v>2191810</v>
      </c>
      <c r="P25" s="7">
        <v>2162834</v>
      </c>
      <c r="Q25" s="7">
        <v>2120504</v>
      </c>
      <c r="R25" s="7">
        <v>2074605</v>
      </c>
      <c r="S25" s="7">
        <v>2044813</v>
      </c>
      <c r="T25" s="7">
        <v>2023825</v>
      </c>
      <c r="U25" s="7">
        <v>2001468</v>
      </c>
      <c r="V25" s="7">
        <v>1986096</v>
      </c>
      <c r="W25" s="7">
        <v>1968957</v>
      </c>
      <c r="X25" s="7">
        <v>1950116</v>
      </c>
      <c r="Y25" s="7">
        <v>1934379</v>
      </c>
      <c r="Z25" s="7">
        <v>1919968</v>
      </c>
      <c r="AA25" s="7">
        <v>1907675</v>
      </c>
      <c r="AB25" s="7">
        <v>1893223</v>
      </c>
      <c r="AC25" s="7">
        <v>1875757</v>
      </c>
      <c r="AD25" s="7">
        <v>1895239</v>
      </c>
      <c r="AE25" s="7">
        <v>1878575</v>
      </c>
    </row>
    <row r="26" spans="1:31" ht="11.35" customHeight="1" x14ac:dyDescent="0.45">
      <c r="A26" s="5" t="s">
        <v>57</v>
      </c>
      <c r="B26" s="6">
        <v>3642991</v>
      </c>
      <c r="C26" s="6">
        <v>3615212</v>
      </c>
      <c r="D26" s="6">
        <v>3588013</v>
      </c>
      <c r="E26" s="6">
        <v>3562261</v>
      </c>
      <c r="F26" s="6">
        <v>3536401</v>
      </c>
      <c r="G26" s="6">
        <v>3512074</v>
      </c>
      <c r="H26" s="6">
        <v>3486998</v>
      </c>
      <c r="I26" s="6">
        <v>3454637</v>
      </c>
      <c r="J26" s="6">
        <v>3431497</v>
      </c>
      <c r="K26" s="6">
        <v>3398929</v>
      </c>
      <c r="L26" s="6">
        <v>3355220</v>
      </c>
      <c r="M26" s="6">
        <v>3289835</v>
      </c>
      <c r="N26" s="6">
        <v>3249983</v>
      </c>
      <c r="O26" s="6">
        <v>3212605</v>
      </c>
      <c r="P26" s="6">
        <v>3183856</v>
      </c>
      <c r="Q26" s="6">
        <v>3141976</v>
      </c>
      <c r="R26" s="6">
        <v>3052588</v>
      </c>
      <c r="S26" s="6">
        <v>3003641</v>
      </c>
      <c r="T26" s="6">
        <v>2974637</v>
      </c>
      <c r="U26" s="6">
        <v>2947862</v>
      </c>
      <c r="V26" s="6">
        <v>2926644</v>
      </c>
      <c r="W26" s="6">
        <v>2895573</v>
      </c>
      <c r="X26" s="6">
        <v>2859077</v>
      </c>
      <c r="Y26" s="6">
        <v>2826200</v>
      </c>
      <c r="Z26" s="6">
        <v>2812200</v>
      </c>
      <c r="AA26" s="6">
        <v>2809977</v>
      </c>
      <c r="AB26" s="6">
        <v>2810761</v>
      </c>
      <c r="AC26" s="6">
        <v>2805998</v>
      </c>
      <c r="AD26" s="6">
        <v>2857279</v>
      </c>
      <c r="AE26" s="6">
        <v>2885891</v>
      </c>
    </row>
    <row r="27" spans="1:31" ht="11.35" customHeight="1" x14ac:dyDescent="0.45">
      <c r="A27" s="5" t="s">
        <v>58</v>
      </c>
      <c r="B27" s="7">
        <v>405650</v>
      </c>
      <c r="C27" s="7">
        <v>411600</v>
      </c>
      <c r="D27" s="7">
        <v>416850</v>
      </c>
      <c r="E27" s="7">
        <v>422050</v>
      </c>
      <c r="F27" s="7">
        <v>427350</v>
      </c>
      <c r="G27" s="7">
        <v>433600</v>
      </c>
      <c r="H27" s="7">
        <v>439000</v>
      </c>
      <c r="I27" s="7">
        <v>444050</v>
      </c>
      <c r="J27" s="7">
        <v>448300</v>
      </c>
      <c r="K27" s="7">
        <v>454960</v>
      </c>
      <c r="L27" s="7">
        <v>461230</v>
      </c>
      <c r="M27" s="7">
        <v>469086</v>
      </c>
      <c r="N27" s="7">
        <v>476187</v>
      </c>
      <c r="O27" s="7">
        <v>483799</v>
      </c>
      <c r="P27" s="7">
        <v>493500</v>
      </c>
      <c r="Q27" s="7">
        <v>502066</v>
      </c>
      <c r="R27" s="7">
        <v>511840</v>
      </c>
      <c r="S27" s="7">
        <v>524853</v>
      </c>
      <c r="T27" s="7">
        <v>537039</v>
      </c>
      <c r="U27" s="7">
        <v>549680</v>
      </c>
      <c r="V27" s="7">
        <v>562958</v>
      </c>
      <c r="W27" s="7">
        <v>576249</v>
      </c>
      <c r="X27" s="7">
        <v>590667</v>
      </c>
      <c r="Y27" s="7">
        <v>602005</v>
      </c>
      <c r="Z27" s="7">
        <v>613894</v>
      </c>
      <c r="AA27" s="7">
        <v>626108</v>
      </c>
      <c r="AB27" s="7">
        <v>634730</v>
      </c>
      <c r="AC27" s="7">
        <v>645397</v>
      </c>
      <c r="AD27" s="7">
        <v>660809</v>
      </c>
      <c r="AE27" s="7">
        <v>672050</v>
      </c>
    </row>
    <row r="28" spans="1:31" ht="11.35" customHeight="1" x14ac:dyDescent="0.45">
      <c r="A28" s="5" t="s">
        <v>59</v>
      </c>
      <c r="B28" s="6">
        <v>10336700</v>
      </c>
      <c r="C28" s="6">
        <v>10321229</v>
      </c>
      <c r="D28" s="6">
        <v>10301247</v>
      </c>
      <c r="E28" s="6">
        <v>10279724</v>
      </c>
      <c r="F28" s="6">
        <v>10253416</v>
      </c>
      <c r="G28" s="6">
        <v>10221644</v>
      </c>
      <c r="H28" s="6">
        <v>10200298</v>
      </c>
      <c r="I28" s="6">
        <v>10174853</v>
      </c>
      <c r="J28" s="6">
        <v>10142362</v>
      </c>
      <c r="K28" s="6">
        <v>10116742</v>
      </c>
      <c r="L28" s="6">
        <v>10097549</v>
      </c>
      <c r="M28" s="6">
        <v>10076581</v>
      </c>
      <c r="N28" s="6">
        <v>10066158</v>
      </c>
      <c r="O28" s="6">
        <v>10045401</v>
      </c>
      <c r="P28" s="6">
        <v>10030975</v>
      </c>
      <c r="Q28" s="6">
        <v>10014324</v>
      </c>
      <c r="R28" s="6">
        <v>9985722</v>
      </c>
      <c r="S28" s="6">
        <v>9931925</v>
      </c>
      <c r="T28" s="6">
        <v>9895250</v>
      </c>
      <c r="U28" s="6">
        <v>9850217</v>
      </c>
      <c r="V28" s="6">
        <v>9815858</v>
      </c>
      <c r="W28" s="6">
        <v>9779652</v>
      </c>
      <c r="X28" s="6">
        <v>9739857</v>
      </c>
      <c r="Y28" s="6">
        <v>9713655</v>
      </c>
      <c r="Z28" s="6">
        <v>9700272</v>
      </c>
      <c r="AA28" s="6">
        <v>9689376</v>
      </c>
      <c r="AB28" s="6">
        <v>9651461</v>
      </c>
      <c r="AC28" s="6">
        <v>9610403</v>
      </c>
      <c r="AD28" s="6">
        <v>9599744</v>
      </c>
      <c r="AE28" s="6">
        <v>9584627</v>
      </c>
    </row>
    <row r="29" spans="1:31" ht="11.35" customHeight="1" x14ac:dyDescent="0.45">
      <c r="A29" s="5" t="s">
        <v>60</v>
      </c>
      <c r="B29" s="7">
        <v>376433</v>
      </c>
      <c r="C29" s="7">
        <v>378404</v>
      </c>
      <c r="D29" s="7">
        <v>381405</v>
      </c>
      <c r="E29" s="7">
        <v>384176</v>
      </c>
      <c r="F29" s="7">
        <v>386397</v>
      </c>
      <c r="G29" s="7">
        <v>388759</v>
      </c>
      <c r="H29" s="7">
        <v>391415</v>
      </c>
      <c r="I29" s="7">
        <v>394641</v>
      </c>
      <c r="J29" s="7">
        <v>397296</v>
      </c>
      <c r="K29" s="7">
        <v>399867</v>
      </c>
      <c r="L29" s="7">
        <v>402668</v>
      </c>
      <c r="M29" s="7">
        <v>404999</v>
      </c>
      <c r="N29" s="7">
        <v>405616</v>
      </c>
      <c r="O29" s="7">
        <v>407832</v>
      </c>
      <c r="P29" s="7">
        <v>410926</v>
      </c>
      <c r="Q29" s="7">
        <v>414027</v>
      </c>
      <c r="R29" s="7">
        <v>414989</v>
      </c>
      <c r="S29" s="7">
        <v>417546</v>
      </c>
      <c r="T29" s="7">
        <v>421464</v>
      </c>
      <c r="U29" s="7">
        <v>428156</v>
      </c>
      <c r="V29" s="7">
        <v>438805</v>
      </c>
      <c r="W29" s="7">
        <v>449635</v>
      </c>
      <c r="X29" s="7">
        <v>459375</v>
      </c>
      <c r="Y29" s="7">
        <v>474837</v>
      </c>
      <c r="Z29" s="7">
        <v>492968</v>
      </c>
      <c r="AA29" s="7">
        <v>514855</v>
      </c>
      <c r="AB29" s="7">
        <v>516125</v>
      </c>
      <c r="AC29" s="7">
        <v>520174</v>
      </c>
      <c r="AD29" s="7">
        <v>542051</v>
      </c>
      <c r="AE29" s="7">
        <v>563443</v>
      </c>
    </row>
    <row r="30" spans="1:31" ht="11.35" customHeight="1" x14ac:dyDescent="0.45">
      <c r="A30" s="5" t="s">
        <v>61</v>
      </c>
      <c r="B30" s="6">
        <v>15424122</v>
      </c>
      <c r="C30" s="6">
        <v>15493889</v>
      </c>
      <c r="D30" s="6">
        <v>15567107</v>
      </c>
      <c r="E30" s="6">
        <v>15654192</v>
      </c>
      <c r="F30" s="6">
        <v>15760225</v>
      </c>
      <c r="G30" s="6">
        <v>15863950</v>
      </c>
      <c r="H30" s="6">
        <v>15987075</v>
      </c>
      <c r="I30" s="6">
        <v>16105285</v>
      </c>
      <c r="J30" s="6">
        <v>16192572</v>
      </c>
      <c r="K30" s="6">
        <v>16258032</v>
      </c>
      <c r="L30" s="6">
        <v>16305526</v>
      </c>
      <c r="M30" s="6">
        <v>16334210</v>
      </c>
      <c r="N30" s="6">
        <v>16357992</v>
      </c>
      <c r="O30" s="6">
        <v>16405399</v>
      </c>
      <c r="P30" s="6">
        <v>16485787</v>
      </c>
      <c r="Q30" s="6">
        <v>16574989</v>
      </c>
      <c r="R30" s="6">
        <v>16655799</v>
      </c>
      <c r="S30" s="6">
        <v>16730348</v>
      </c>
      <c r="T30" s="6">
        <v>16779575</v>
      </c>
      <c r="U30" s="6">
        <v>16829289</v>
      </c>
      <c r="V30" s="6">
        <v>16900726</v>
      </c>
      <c r="W30" s="6">
        <v>16979120</v>
      </c>
      <c r="X30" s="6">
        <v>17081507</v>
      </c>
      <c r="Y30" s="6">
        <v>17181084</v>
      </c>
      <c r="Z30" s="6">
        <v>17282163</v>
      </c>
      <c r="AA30" s="6">
        <v>17407585</v>
      </c>
      <c r="AB30" s="6">
        <v>17475415</v>
      </c>
      <c r="AC30" s="6">
        <v>17590672</v>
      </c>
      <c r="AD30" s="6">
        <v>17811291</v>
      </c>
      <c r="AE30" s="6">
        <v>17942942</v>
      </c>
    </row>
    <row r="31" spans="1:31" ht="11.35" customHeight="1" x14ac:dyDescent="0.45">
      <c r="A31" s="5" t="s">
        <v>62</v>
      </c>
      <c r="B31" s="7">
        <v>7943489</v>
      </c>
      <c r="C31" s="7">
        <v>7953067</v>
      </c>
      <c r="D31" s="7">
        <v>7964966</v>
      </c>
      <c r="E31" s="7">
        <v>7971116</v>
      </c>
      <c r="F31" s="7">
        <v>7982461</v>
      </c>
      <c r="G31" s="7">
        <v>8002186</v>
      </c>
      <c r="H31" s="7">
        <v>8020946</v>
      </c>
      <c r="I31" s="7">
        <v>8063640</v>
      </c>
      <c r="J31" s="7">
        <v>8100273</v>
      </c>
      <c r="K31" s="7">
        <v>8142573</v>
      </c>
      <c r="L31" s="7">
        <v>8201359</v>
      </c>
      <c r="M31" s="7">
        <v>8254298</v>
      </c>
      <c r="N31" s="7">
        <v>8282984</v>
      </c>
      <c r="O31" s="7">
        <v>8307989</v>
      </c>
      <c r="P31" s="7">
        <v>8335003</v>
      </c>
      <c r="Q31" s="7">
        <v>8351643</v>
      </c>
      <c r="R31" s="7">
        <v>8375164</v>
      </c>
      <c r="S31" s="7">
        <v>8408121</v>
      </c>
      <c r="T31" s="7">
        <v>8451860</v>
      </c>
      <c r="U31" s="7">
        <v>8507786</v>
      </c>
      <c r="V31" s="7">
        <v>8584926</v>
      </c>
      <c r="W31" s="7">
        <v>8700471</v>
      </c>
      <c r="X31" s="7">
        <v>8772865</v>
      </c>
      <c r="Y31" s="7">
        <v>8822267</v>
      </c>
      <c r="Z31" s="7">
        <v>8858775</v>
      </c>
      <c r="AA31" s="7">
        <v>8901064</v>
      </c>
      <c r="AB31" s="7">
        <v>8932664</v>
      </c>
      <c r="AC31" s="7">
        <v>8978929</v>
      </c>
      <c r="AD31" s="7">
        <v>9104772</v>
      </c>
      <c r="AE31" s="7">
        <v>9158750</v>
      </c>
    </row>
    <row r="32" spans="1:31" ht="11.35" customHeight="1" x14ac:dyDescent="0.45">
      <c r="A32" s="5" t="s">
        <v>63</v>
      </c>
      <c r="B32" s="6">
        <v>38580597</v>
      </c>
      <c r="C32" s="6">
        <v>38609399</v>
      </c>
      <c r="D32" s="6">
        <v>38639341</v>
      </c>
      <c r="E32" s="6">
        <v>38659979</v>
      </c>
      <c r="F32" s="6">
        <v>38666983</v>
      </c>
      <c r="G32" s="6">
        <v>38263303</v>
      </c>
      <c r="H32" s="6">
        <v>38253955</v>
      </c>
      <c r="I32" s="6">
        <v>38242197</v>
      </c>
      <c r="J32" s="6">
        <v>38218531</v>
      </c>
      <c r="K32" s="6">
        <v>38190608</v>
      </c>
      <c r="L32" s="6">
        <v>38173835</v>
      </c>
      <c r="M32" s="6">
        <v>38157055</v>
      </c>
      <c r="N32" s="6">
        <v>38125479</v>
      </c>
      <c r="O32" s="6">
        <v>38115641</v>
      </c>
      <c r="P32" s="6">
        <v>38135876</v>
      </c>
      <c r="Q32" s="6">
        <v>38022869</v>
      </c>
      <c r="R32" s="6">
        <v>38062718</v>
      </c>
      <c r="S32" s="6">
        <v>38063792</v>
      </c>
      <c r="T32" s="6">
        <v>38062535</v>
      </c>
      <c r="U32" s="6">
        <v>38017856</v>
      </c>
      <c r="V32" s="6">
        <v>38005614</v>
      </c>
      <c r="W32" s="6">
        <v>37967209</v>
      </c>
      <c r="X32" s="6">
        <v>37972964</v>
      </c>
      <c r="Y32" s="6">
        <v>37976687</v>
      </c>
      <c r="Z32" s="6">
        <v>37972812</v>
      </c>
      <c r="AA32" s="6">
        <v>37958138</v>
      </c>
      <c r="AB32" s="6">
        <v>37073357</v>
      </c>
      <c r="AC32" s="6">
        <v>36889761</v>
      </c>
      <c r="AD32" s="6">
        <v>36753736</v>
      </c>
      <c r="AE32" s="6">
        <v>36620970</v>
      </c>
    </row>
    <row r="33" spans="1:31" ht="11.35" customHeight="1" x14ac:dyDescent="0.45">
      <c r="A33" s="5" t="s">
        <v>64</v>
      </c>
      <c r="B33" s="7">
        <v>10008659</v>
      </c>
      <c r="C33" s="7">
        <v>10043693</v>
      </c>
      <c r="D33" s="7">
        <v>10084196</v>
      </c>
      <c r="E33" s="7">
        <v>10133758</v>
      </c>
      <c r="F33" s="7">
        <v>10186634</v>
      </c>
      <c r="G33" s="7">
        <v>10249022</v>
      </c>
      <c r="H33" s="7">
        <v>10330774</v>
      </c>
      <c r="I33" s="7">
        <v>10394669</v>
      </c>
      <c r="J33" s="7">
        <v>10444592</v>
      </c>
      <c r="K33" s="7">
        <v>10473050</v>
      </c>
      <c r="L33" s="7">
        <v>10494672</v>
      </c>
      <c r="M33" s="7">
        <v>10511988</v>
      </c>
      <c r="N33" s="7">
        <v>10532588</v>
      </c>
      <c r="O33" s="7">
        <v>10553339</v>
      </c>
      <c r="P33" s="7">
        <v>10563014</v>
      </c>
      <c r="Q33" s="7">
        <v>10573479</v>
      </c>
      <c r="R33" s="7">
        <v>10572721</v>
      </c>
      <c r="S33" s="7">
        <v>10558950</v>
      </c>
      <c r="T33" s="7">
        <v>10503889</v>
      </c>
      <c r="U33" s="7">
        <v>10444092</v>
      </c>
      <c r="V33" s="7">
        <v>10395121</v>
      </c>
      <c r="W33" s="7">
        <v>10368554</v>
      </c>
      <c r="X33" s="7">
        <v>10344478</v>
      </c>
      <c r="Y33" s="7">
        <v>10335770</v>
      </c>
      <c r="Z33" s="7">
        <v>10333496</v>
      </c>
      <c r="AA33" s="7">
        <v>10375395</v>
      </c>
      <c r="AB33" s="7">
        <v>10394297</v>
      </c>
      <c r="AC33" s="7">
        <v>10421117</v>
      </c>
      <c r="AD33" s="7">
        <v>10516621</v>
      </c>
      <c r="AE33" s="7">
        <v>10639726</v>
      </c>
    </row>
    <row r="34" spans="1:31" ht="11.35" customHeight="1" x14ac:dyDescent="0.45">
      <c r="A34" s="5" t="s">
        <v>65</v>
      </c>
      <c r="B34" s="6">
        <v>22712394</v>
      </c>
      <c r="C34" s="6">
        <v>22656145</v>
      </c>
      <c r="D34" s="6">
        <v>22581862</v>
      </c>
      <c r="E34" s="6">
        <v>22526093</v>
      </c>
      <c r="F34" s="6">
        <v>22488595</v>
      </c>
      <c r="G34" s="6">
        <v>22455485</v>
      </c>
      <c r="H34" s="6">
        <v>22430457</v>
      </c>
      <c r="I34" s="6">
        <v>21833483</v>
      </c>
      <c r="J34" s="6">
        <v>21627509</v>
      </c>
      <c r="K34" s="6">
        <v>21521142</v>
      </c>
      <c r="L34" s="6">
        <v>21382354</v>
      </c>
      <c r="M34" s="6">
        <v>21257016</v>
      </c>
      <c r="N34" s="6">
        <v>21130503</v>
      </c>
      <c r="O34" s="6">
        <v>20635460</v>
      </c>
      <c r="P34" s="6">
        <v>20440290</v>
      </c>
      <c r="Q34" s="6">
        <v>20294683</v>
      </c>
      <c r="R34" s="6">
        <v>20199059</v>
      </c>
      <c r="S34" s="6">
        <v>20095996</v>
      </c>
      <c r="T34" s="6">
        <v>20020074</v>
      </c>
      <c r="U34" s="6">
        <v>19947311</v>
      </c>
      <c r="V34" s="6">
        <v>19870647</v>
      </c>
      <c r="W34" s="6">
        <v>19760585</v>
      </c>
      <c r="X34" s="6">
        <v>19643949</v>
      </c>
      <c r="Y34" s="6">
        <v>19533481</v>
      </c>
      <c r="Z34" s="6">
        <v>19414458</v>
      </c>
      <c r="AA34" s="6">
        <v>19328838</v>
      </c>
      <c r="AB34" s="6">
        <v>19201662</v>
      </c>
      <c r="AC34" s="6">
        <v>19043098</v>
      </c>
      <c r="AD34" s="6">
        <v>19055228</v>
      </c>
      <c r="AE34" s="6">
        <v>19067576</v>
      </c>
    </row>
    <row r="35" spans="1:31" ht="11.35" customHeight="1" x14ac:dyDescent="0.45">
      <c r="A35" s="5" t="s">
        <v>66</v>
      </c>
      <c r="B35" s="7">
        <v>1989477</v>
      </c>
      <c r="C35" s="7">
        <v>1990266</v>
      </c>
      <c r="D35" s="7">
        <v>1986989</v>
      </c>
      <c r="E35" s="7">
        <v>1984923</v>
      </c>
      <c r="F35" s="7">
        <v>1978334</v>
      </c>
      <c r="G35" s="7">
        <v>1987755</v>
      </c>
      <c r="H35" s="7">
        <v>1990094</v>
      </c>
      <c r="I35" s="7">
        <v>1994026</v>
      </c>
      <c r="J35" s="7">
        <v>1995033</v>
      </c>
      <c r="K35" s="7">
        <v>1996433</v>
      </c>
      <c r="L35" s="7">
        <v>1997590</v>
      </c>
      <c r="M35" s="7">
        <v>2003358</v>
      </c>
      <c r="N35" s="7">
        <v>2010377</v>
      </c>
      <c r="O35" s="7">
        <v>2010269</v>
      </c>
      <c r="P35" s="7">
        <v>2032362</v>
      </c>
      <c r="Q35" s="7">
        <v>2046976</v>
      </c>
      <c r="R35" s="7">
        <v>2050189</v>
      </c>
      <c r="S35" s="7">
        <v>2055496</v>
      </c>
      <c r="T35" s="7">
        <v>2058821</v>
      </c>
      <c r="U35" s="7">
        <v>2061085</v>
      </c>
      <c r="V35" s="7">
        <v>2062874</v>
      </c>
      <c r="W35" s="7">
        <v>2064188</v>
      </c>
      <c r="X35" s="7">
        <v>2065895</v>
      </c>
      <c r="Y35" s="7">
        <v>2066880</v>
      </c>
      <c r="Z35" s="7">
        <v>2080908</v>
      </c>
      <c r="AA35" s="7">
        <v>2095861</v>
      </c>
      <c r="AB35" s="7">
        <v>2108977</v>
      </c>
      <c r="AC35" s="7">
        <v>2107180</v>
      </c>
      <c r="AD35" s="7">
        <v>2116972</v>
      </c>
      <c r="AE35" s="7">
        <v>2123949</v>
      </c>
    </row>
    <row r="36" spans="1:31" ht="11.35" customHeight="1" x14ac:dyDescent="0.45">
      <c r="A36" s="5" t="s">
        <v>67</v>
      </c>
      <c r="B36" s="6">
        <v>5356207</v>
      </c>
      <c r="C36" s="6">
        <v>5367790</v>
      </c>
      <c r="D36" s="6">
        <v>5378932</v>
      </c>
      <c r="E36" s="6">
        <v>5387650</v>
      </c>
      <c r="F36" s="6">
        <v>5393382</v>
      </c>
      <c r="G36" s="6">
        <v>5398657</v>
      </c>
      <c r="H36" s="6">
        <v>5378783</v>
      </c>
      <c r="I36" s="6">
        <v>5378951</v>
      </c>
      <c r="J36" s="6">
        <v>5374873</v>
      </c>
      <c r="K36" s="6">
        <v>5371875</v>
      </c>
      <c r="L36" s="6">
        <v>5372685</v>
      </c>
      <c r="M36" s="6">
        <v>5372928</v>
      </c>
      <c r="N36" s="6">
        <v>5373180</v>
      </c>
      <c r="O36" s="6">
        <v>5376064</v>
      </c>
      <c r="P36" s="6">
        <v>5382401</v>
      </c>
      <c r="Q36" s="6">
        <v>5390410</v>
      </c>
      <c r="R36" s="6">
        <v>5392446</v>
      </c>
      <c r="S36" s="6">
        <v>5404322</v>
      </c>
      <c r="T36" s="6">
        <v>5410836</v>
      </c>
      <c r="U36" s="6">
        <v>5415949</v>
      </c>
      <c r="V36" s="6">
        <v>5421349</v>
      </c>
      <c r="W36" s="6">
        <v>5426252</v>
      </c>
      <c r="X36" s="6">
        <v>5435343</v>
      </c>
      <c r="Y36" s="6">
        <v>5443120</v>
      </c>
      <c r="Z36" s="6">
        <v>5450421</v>
      </c>
      <c r="AA36" s="6">
        <v>5457873</v>
      </c>
      <c r="AB36" s="6">
        <v>5459781</v>
      </c>
      <c r="AC36" s="6">
        <v>5434712</v>
      </c>
      <c r="AD36" s="6">
        <v>5428792</v>
      </c>
      <c r="AE36" s="6">
        <v>5424687</v>
      </c>
    </row>
    <row r="37" spans="1:31" ht="11.35" customHeight="1" x14ac:dyDescent="0.45">
      <c r="A37" s="5" t="s">
        <v>68</v>
      </c>
      <c r="B37" s="7">
        <v>5098754</v>
      </c>
      <c r="C37" s="7">
        <v>5116826</v>
      </c>
      <c r="D37" s="7">
        <v>5132320</v>
      </c>
      <c r="E37" s="7">
        <v>5147349</v>
      </c>
      <c r="F37" s="7">
        <v>5159646</v>
      </c>
      <c r="G37" s="7">
        <v>5171302</v>
      </c>
      <c r="H37" s="7">
        <v>5181115</v>
      </c>
      <c r="I37" s="7">
        <v>5194901</v>
      </c>
      <c r="J37" s="7">
        <v>5206295</v>
      </c>
      <c r="K37" s="7">
        <v>5219732</v>
      </c>
      <c r="L37" s="7">
        <v>5236611</v>
      </c>
      <c r="M37" s="7">
        <v>5255580</v>
      </c>
      <c r="N37" s="7">
        <v>5276955</v>
      </c>
      <c r="O37" s="7">
        <v>5300484</v>
      </c>
      <c r="P37" s="7">
        <v>5326314</v>
      </c>
      <c r="Q37" s="7">
        <v>5351427</v>
      </c>
      <c r="R37" s="7">
        <v>5375276</v>
      </c>
      <c r="S37" s="7">
        <v>5401267</v>
      </c>
      <c r="T37" s="7">
        <v>5426674</v>
      </c>
      <c r="U37" s="7">
        <v>5451270</v>
      </c>
      <c r="V37" s="7">
        <v>5471753</v>
      </c>
      <c r="W37" s="7">
        <v>5487308</v>
      </c>
      <c r="X37" s="7">
        <v>5503297</v>
      </c>
      <c r="Y37" s="7">
        <v>5513130</v>
      </c>
      <c r="Z37" s="7">
        <v>5517919</v>
      </c>
      <c r="AA37" s="7">
        <v>5525292</v>
      </c>
      <c r="AB37" s="7">
        <v>5533793</v>
      </c>
      <c r="AC37" s="7">
        <v>5548241</v>
      </c>
      <c r="AD37" s="7">
        <v>5563970</v>
      </c>
      <c r="AE37" s="7">
        <v>5603851</v>
      </c>
    </row>
    <row r="38" spans="1:31" ht="11.35" customHeight="1" x14ac:dyDescent="0.45">
      <c r="A38" s="5" t="s">
        <v>69</v>
      </c>
      <c r="B38" s="6">
        <v>8816381</v>
      </c>
      <c r="C38" s="6">
        <v>8837496</v>
      </c>
      <c r="D38" s="6">
        <v>8844499</v>
      </c>
      <c r="E38" s="6">
        <v>8847625</v>
      </c>
      <c r="F38" s="6">
        <v>8854322</v>
      </c>
      <c r="G38" s="6">
        <v>8861426</v>
      </c>
      <c r="H38" s="6">
        <v>8882792</v>
      </c>
      <c r="I38" s="6">
        <v>8909128</v>
      </c>
      <c r="J38" s="6">
        <v>8940788</v>
      </c>
      <c r="K38" s="6">
        <v>8975670</v>
      </c>
      <c r="L38" s="6">
        <v>9011392</v>
      </c>
      <c r="M38" s="6">
        <v>9047752</v>
      </c>
      <c r="N38" s="6">
        <v>9113257</v>
      </c>
      <c r="O38" s="6">
        <v>9182927</v>
      </c>
      <c r="P38" s="6">
        <v>9256347</v>
      </c>
      <c r="Q38" s="6">
        <v>9340682</v>
      </c>
      <c r="R38" s="6">
        <v>9415570</v>
      </c>
      <c r="S38" s="6">
        <v>9482855</v>
      </c>
      <c r="T38" s="6">
        <v>9555893</v>
      </c>
      <c r="U38" s="6">
        <v>9644864</v>
      </c>
      <c r="V38" s="6">
        <v>9747355</v>
      </c>
      <c r="W38" s="6">
        <v>9851017</v>
      </c>
      <c r="X38" s="6">
        <v>9995153</v>
      </c>
      <c r="Y38" s="6">
        <v>10120242</v>
      </c>
      <c r="Z38" s="6">
        <v>10230185</v>
      </c>
      <c r="AA38" s="6">
        <v>10327589</v>
      </c>
      <c r="AB38" s="6">
        <v>10379295</v>
      </c>
      <c r="AC38" s="6">
        <v>10452326</v>
      </c>
      <c r="AD38" s="6">
        <v>10521556</v>
      </c>
      <c r="AE38" s="6">
        <v>10551707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6CF2F-3626-4FDF-9292-4C50239ECF33}">
  <sheetPr codeName="Sheet6">
    <tabColor theme="5"/>
  </sheetPr>
  <dimension ref="A1:AE37"/>
  <sheetViews>
    <sheetView workbookViewId="0">
      <pane xSplit="1" ySplit="9" topLeftCell="B10" activePane="bottomRight" state="frozen"/>
      <selection pane="topRight"/>
      <selection pane="bottomLeft"/>
      <selection pane="bottomRight" activeCell="B10" sqref="B10"/>
    </sheetView>
  </sheetViews>
  <sheetFormatPr defaultRowHeight="11.35" customHeight="1" x14ac:dyDescent="0.45"/>
  <cols>
    <col min="1" max="1" width="29.86328125" customWidth="1"/>
    <col min="2" max="31" width="9.9296875" customWidth="1"/>
  </cols>
  <sheetData>
    <row r="1" spans="1:31" ht="11.35" customHeight="1" x14ac:dyDescent="0.45">
      <c r="A1" s="2" t="s">
        <v>0</v>
      </c>
    </row>
    <row r="2" spans="1:31" ht="11.35" customHeight="1" x14ac:dyDescent="0.45">
      <c r="A2" s="2" t="s">
        <v>1</v>
      </c>
      <c r="C2" s="1" t="s">
        <v>2</v>
      </c>
    </row>
    <row r="3" spans="1:31" ht="11.35" customHeight="1" x14ac:dyDescent="0.45">
      <c r="A3" s="2" t="s">
        <v>3</v>
      </c>
      <c r="C3" s="2" t="s">
        <v>4</v>
      </c>
    </row>
    <row r="5" spans="1:31" ht="11.35" customHeight="1" x14ac:dyDescent="0.45">
      <c r="A5" s="1" t="s">
        <v>5</v>
      </c>
      <c r="C5" s="2" t="s">
        <v>6</v>
      </c>
    </row>
    <row r="6" spans="1:31" ht="11.35" customHeight="1" x14ac:dyDescent="0.45">
      <c r="A6" s="1" t="s">
        <v>7</v>
      </c>
      <c r="C6" s="2" t="s">
        <v>8</v>
      </c>
    </row>
    <row r="7" spans="1:31" ht="11.35" customHeight="1" x14ac:dyDescent="0.45">
      <c r="A7" s="1" t="s">
        <v>9</v>
      </c>
      <c r="C7" s="12" t="s">
        <v>80</v>
      </c>
    </row>
    <row r="9" spans="1:31" ht="11.35" customHeight="1" x14ac:dyDescent="0.45">
      <c r="A9" s="4" t="s">
        <v>11</v>
      </c>
      <c r="B9" s="3" t="s">
        <v>12</v>
      </c>
      <c r="C9" s="3" t="s">
        <v>13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  <c r="J9" s="3" t="s">
        <v>20</v>
      </c>
      <c r="K9" s="3" t="s">
        <v>21</v>
      </c>
      <c r="L9" s="3" t="s">
        <v>22</v>
      </c>
      <c r="M9" s="3" t="s">
        <v>23</v>
      </c>
      <c r="N9" s="3" t="s">
        <v>24</v>
      </c>
      <c r="O9" s="3" t="s">
        <v>25</v>
      </c>
      <c r="P9" s="3" t="s">
        <v>26</v>
      </c>
      <c r="Q9" s="3" t="s">
        <v>27</v>
      </c>
      <c r="R9" s="3" t="s">
        <v>28</v>
      </c>
      <c r="S9" s="3" t="s">
        <v>29</v>
      </c>
      <c r="T9" s="3" t="s">
        <v>30</v>
      </c>
      <c r="U9" s="3" t="s">
        <v>31</v>
      </c>
      <c r="V9" s="3" t="s">
        <v>32</v>
      </c>
      <c r="W9" s="3" t="s">
        <v>33</v>
      </c>
      <c r="X9" s="3" t="s">
        <v>34</v>
      </c>
      <c r="Y9" s="3" t="s">
        <v>35</v>
      </c>
      <c r="Z9" s="3" t="s">
        <v>36</v>
      </c>
      <c r="AA9" s="3" t="s">
        <v>37</v>
      </c>
      <c r="AB9" s="3" t="s">
        <v>38</v>
      </c>
      <c r="AC9" s="3" t="s">
        <v>39</v>
      </c>
      <c r="AD9" s="3" t="s">
        <v>40</v>
      </c>
      <c r="AE9" s="3" t="s">
        <v>41</v>
      </c>
    </row>
    <row r="10" spans="1:31" ht="11.35" customHeight="1" x14ac:dyDescent="0.45">
      <c r="A10" s="5" t="s">
        <v>42</v>
      </c>
      <c r="B10" s="11">
        <f>'total mil euro'!B10/POPULATION!B11*1000000</f>
        <v>385.97349724066532</v>
      </c>
      <c r="C10" s="11">
        <f>'total mil euro'!C10/POPULATION!C11*1000000</f>
        <v>412.49163606828927</v>
      </c>
      <c r="D10" s="11">
        <f>'total mil euro'!D10/POPULATION!D11*1000000</f>
        <v>418.11491607879225</v>
      </c>
      <c r="E10" s="11">
        <f>'total mil euro'!E10/POPULATION!E11*1000000</f>
        <v>435.63329197667531</v>
      </c>
      <c r="F10" s="11">
        <f>'total mil euro'!F10/POPULATION!F11*1000000</f>
        <v>465.49466301696657</v>
      </c>
      <c r="G10" s="11">
        <f>'total mil euro'!G10/POPULATION!G11*1000000</f>
        <v>474.86290609755179</v>
      </c>
      <c r="H10" s="11">
        <f>'total mil euro'!H10/POPULATION!H11*1000000</f>
        <v>494.40744378913183</v>
      </c>
      <c r="I10" s="11">
        <f>'total mil euro'!I10/POPULATION!I11*1000000</f>
        <v>515.09660142995051</v>
      </c>
      <c r="J10" s="11">
        <f>'total mil euro'!J10/POPULATION!J11*1000000</f>
        <v>536.39516524801036</v>
      </c>
      <c r="K10" s="11">
        <f>'total mil euro'!K10/POPULATION!K11*1000000</f>
        <v>557.26911851434363</v>
      </c>
      <c r="L10" s="11">
        <f>'total mil euro'!L10/POPULATION!L11*1000000</f>
        <v>573.29997988657294</v>
      </c>
      <c r="M10" s="11">
        <f>'total mil euro'!M10/POPULATION!M11*1000000</f>
        <v>592.01245545152199</v>
      </c>
      <c r="N10" s="11">
        <f>'total mil euro'!N10/POPULATION!N11*1000000</f>
        <v>605.02654206358511</v>
      </c>
      <c r="O10" s="11">
        <f>'total mil euro'!O10/POPULATION!O11*1000000</f>
        <v>609.30009643891447</v>
      </c>
      <c r="P10" s="11">
        <f>'total mil euro'!P10/POPULATION!P11*1000000</f>
        <v>605.79338032597593</v>
      </c>
      <c r="Q10" s="11">
        <f>'total mil euro'!Q10/POPULATION!Q11*1000000</f>
        <v>620.33041084032368</v>
      </c>
      <c r="R10" s="11">
        <f>'total mil euro'!R10/POPULATION!R11*1000000</f>
        <v>661.42977543384927</v>
      </c>
      <c r="S10" s="11">
        <f>'total mil euro'!S10/POPULATION!S11*1000000</f>
        <v>675.51549756727047</v>
      </c>
      <c r="T10" s="11">
        <f>'total mil euro'!T10/POPULATION!T11*1000000</f>
        <v>703.92970814297894</v>
      </c>
      <c r="U10" s="11">
        <f>'total mil euro'!U10/POPULATION!U11*1000000</f>
        <v>729.65173398745719</v>
      </c>
      <c r="V10" s="11">
        <f>'total mil euro'!V10/POPULATION!V11*1000000</f>
        <v>744.05524738377471</v>
      </c>
      <c r="W10" s="11">
        <f>'total mil euro'!W10/POPULATION!W11*1000000</f>
        <v>769.26206317922856</v>
      </c>
      <c r="X10" s="11">
        <f>'total mil euro'!X10/POPULATION!X11*1000000</f>
        <v>785.49541182287055</v>
      </c>
      <c r="Y10" s="11">
        <f>'total mil euro'!Y10/POPULATION!Y11*1000000</f>
        <v>798.52551365123111</v>
      </c>
      <c r="Z10" s="11">
        <f>'total mil euro'!Z10/POPULATION!Z11*1000000</f>
        <v>813.73045353247664</v>
      </c>
      <c r="AA10" s="11">
        <f>'total mil euro'!AA10/POPULATION!AA11*1000000</f>
        <v>749.15771205560009</v>
      </c>
      <c r="AB10" s="11">
        <f>'total mil euro'!AB10/POPULATION!AB11*1000000</f>
        <v>793.13074557585105</v>
      </c>
      <c r="AC10" s="11">
        <f>'total mil euro'!AC10/POPULATION!AC11*1000000</f>
        <v>764.24226556417352</v>
      </c>
      <c r="AD10" s="11">
        <f>'total mil euro'!AD10/POPULATION!AD11*1000000</f>
        <v>795.17640734932809</v>
      </c>
      <c r="AE10" s="11">
        <f>'total mil euro'!AE10/POPULATION!AE11*1000000</f>
        <v>834.07901637071609</v>
      </c>
    </row>
    <row r="11" spans="1:31" ht="11.35" customHeight="1" x14ac:dyDescent="0.45">
      <c r="A11" s="5" t="s">
        <v>43</v>
      </c>
      <c r="B11" s="11">
        <f>'total mil euro'!B11/POPULATION!B12*1000000</f>
        <v>523.56263327231011</v>
      </c>
      <c r="C11" s="11">
        <f>'total mil euro'!C11/POPULATION!C12*1000000</f>
        <v>576.85230089143829</v>
      </c>
      <c r="D11" s="11">
        <f>'total mil euro'!D11/POPULATION!D12*1000000</f>
        <v>584.57992968887822</v>
      </c>
      <c r="E11" s="11">
        <f>'total mil euro'!E11/POPULATION!E12*1000000</f>
        <v>587.26304577667929</v>
      </c>
      <c r="F11" s="11">
        <f>'total mil euro'!F11/POPULATION!F12*1000000</f>
        <v>615.2293496062955</v>
      </c>
      <c r="G11" s="11">
        <f>'total mil euro'!G11/POPULATION!G12*1000000</f>
        <v>602.29991254101321</v>
      </c>
      <c r="H11" s="11">
        <f>'total mil euro'!H11/POPULATION!H12*1000000</f>
        <v>615.83796580747901</v>
      </c>
      <c r="I11" s="11">
        <f>'total mil euro'!I11/POPULATION!I12*1000000</f>
        <v>620.92829828147694</v>
      </c>
      <c r="J11" s="11">
        <f>'total mil euro'!J11/POPULATION!J12*1000000</f>
        <v>656.26712801003953</v>
      </c>
      <c r="K11" s="11">
        <f>'total mil euro'!K11/POPULATION!K12*1000000</f>
        <v>723.16232672763056</v>
      </c>
      <c r="L11" s="11">
        <f>'total mil euro'!L11/POPULATION!L12*1000000</f>
        <v>752.04013995220294</v>
      </c>
      <c r="M11" s="11">
        <f>'total mil euro'!M11/POPULATION!M12*1000000</f>
        <v>728.60067306087819</v>
      </c>
      <c r="N11" s="11">
        <f>'total mil euro'!N11/POPULATION!N12*1000000</f>
        <v>758.01164226974936</v>
      </c>
      <c r="O11" s="11">
        <f>'total mil euro'!O11/POPULATION!O12*1000000</f>
        <v>757.58896755616888</v>
      </c>
      <c r="P11" s="11">
        <f>'total mil euro'!P11/POPULATION!P12*1000000</f>
        <v>761.5027508397593</v>
      </c>
      <c r="Q11" s="11">
        <f>'total mil euro'!Q11/POPULATION!Q12*1000000</f>
        <v>813.81709526052123</v>
      </c>
      <c r="R11" s="11">
        <f>'total mil euro'!R11/POPULATION!R12*1000000</f>
        <v>870.21316400012438</v>
      </c>
      <c r="S11" s="11">
        <f>'total mil euro'!S11/POPULATION!S12*1000000</f>
        <v>869.14919425429423</v>
      </c>
      <c r="T11" s="11">
        <f>'total mil euro'!T11/POPULATION!T12*1000000</f>
        <v>883.81423767015428</v>
      </c>
      <c r="U11" s="11">
        <f>'total mil euro'!U11/POPULATION!U12*1000000</f>
        <v>909.13562845009858</v>
      </c>
      <c r="V11" s="11">
        <f>'total mil euro'!V11/POPULATION!V12*1000000</f>
        <v>942.76423267778284</v>
      </c>
      <c r="W11" s="11">
        <f>'total mil euro'!W11/POPULATION!W12*1000000</f>
        <v>1014.9483910386571</v>
      </c>
      <c r="X11" s="11">
        <f>'total mil euro'!X11/POPULATION!X12*1000000</f>
        <v>1056.5440835566253</v>
      </c>
      <c r="Y11" s="11">
        <f>'total mil euro'!Y11/POPULATION!Y12*1000000</f>
        <v>1086.1958440645592</v>
      </c>
      <c r="Z11" s="11">
        <f>'total mil euro'!Z11/POPULATION!Z12*1000000</f>
        <v>1100.7532701050036</v>
      </c>
      <c r="AA11" s="11">
        <f>'total mil euro'!AA11/POPULATION!AA12*1000000</f>
        <v>1006.9568598317718</v>
      </c>
      <c r="AB11" s="11">
        <f>'total mil euro'!AB11/POPULATION!AB12*1000000</f>
        <v>1084.3057242088914</v>
      </c>
      <c r="AC11" s="11">
        <f>'total mil euro'!AC11/POPULATION!AC12*1000000</f>
        <v>1066.5434745128157</v>
      </c>
      <c r="AD11" s="11">
        <f>'total mil euro'!AD11/POPULATION!AD12*1000000</f>
        <v>1182.1801213271524</v>
      </c>
      <c r="AE11" s="11">
        <f>'total mil euro'!AE11/POPULATION!AE12*1000000</f>
        <v>1161.3513167702115</v>
      </c>
    </row>
    <row r="12" spans="1:31" ht="11.35" customHeight="1" x14ac:dyDescent="0.45">
      <c r="A12" s="5" t="s">
        <v>44</v>
      </c>
      <c r="B12" s="11">
        <f>'total mil euro'!B12/POPULATION!B13*1000000</f>
        <v>20.706223424541182</v>
      </c>
      <c r="C12" s="11">
        <f>'total mil euro'!C12/POPULATION!C13*1000000</f>
        <v>9.5447489866978188</v>
      </c>
      <c r="D12" s="11">
        <f>'total mil euro'!D12/POPULATION!D13*1000000</f>
        <v>13.910908799683872</v>
      </c>
      <c r="E12" s="11">
        <f>'total mil euro'!E12/POPULATION!E13*1000000</f>
        <v>37.89356770330307</v>
      </c>
      <c r="F12" s="11">
        <f>'total mil euro'!F12/POPULATION!F13*1000000</f>
        <v>38.255869632122291</v>
      </c>
      <c r="G12" s="11">
        <f>'total mil euro'!G12/POPULATION!G13*1000000</f>
        <v>49.022839559529416</v>
      </c>
      <c r="H12" s="11">
        <f>'total mil euro'!H12/POPULATION!H13*1000000</f>
        <v>48.451015452787843</v>
      </c>
      <c r="I12" s="11">
        <f>'total mil euro'!I12/POPULATION!I13*1000000</f>
        <v>52.486937359691389</v>
      </c>
      <c r="J12" s="11">
        <f>'total mil euro'!J12/POPULATION!J13*1000000</f>
        <v>67.502350264031577</v>
      </c>
      <c r="K12" s="11">
        <f>'total mil euro'!K12/POPULATION!K13*1000000</f>
        <v>81.789280435865209</v>
      </c>
      <c r="L12" s="11">
        <f>'total mil euro'!L12/POPULATION!L13*1000000</f>
        <v>92.668691576447287</v>
      </c>
      <c r="M12" s="11">
        <f>'total mil euro'!M12/POPULATION!M13*1000000</f>
        <v>99.964990560820809</v>
      </c>
      <c r="N12" s="11">
        <f>'total mil euro'!N12/POPULATION!N13*1000000</f>
        <v>136.81298532235579</v>
      </c>
      <c r="O12" s="11">
        <f>'total mil euro'!O12/POPULATION!O13*1000000</f>
        <v>162.50594240331407</v>
      </c>
      <c r="P12" s="11">
        <f>'total mil euro'!P12/POPULATION!P13*1000000</f>
        <v>142.31994963519398</v>
      </c>
      <c r="Q12" s="11">
        <f>'total mil euro'!Q12/POPULATION!Q13*1000000</f>
        <v>141.68999669350933</v>
      </c>
      <c r="R12" s="11">
        <f>'total mil euro'!R12/POPULATION!R13*1000000</f>
        <v>150.32096779249306</v>
      </c>
      <c r="S12" s="11">
        <f>'total mil euro'!S12/POPULATION!S13*1000000</f>
        <v>152.65672238217365</v>
      </c>
      <c r="T12" s="11">
        <f>'total mil euro'!T12/POPULATION!T13*1000000</f>
        <v>166.73664182548529</v>
      </c>
      <c r="U12" s="11">
        <f>'total mil euro'!U12/POPULATION!U13*1000000</f>
        <v>171.50376686716444</v>
      </c>
      <c r="V12" s="11">
        <f>'total mil euro'!V12/POPULATION!V13*1000000</f>
        <v>192.28870689888174</v>
      </c>
      <c r="W12" s="11">
        <f>'total mil euro'!W12/POPULATION!W13*1000000</f>
        <v>209.13682115202445</v>
      </c>
      <c r="X12" s="11">
        <f>'total mil euro'!X12/POPULATION!X13*1000000</f>
        <v>214.45158622840324</v>
      </c>
      <c r="Y12" s="11">
        <f>'total mil euro'!Y12/POPULATION!Y13*1000000</f>
        <v>217.60530427450249</v>
      </c>
      <c r="Z12" s="11">
        <f>'total mil euro'!Z12/POPULATION!Z13*1000000</f>
        <v>275.97106139287712</v>
      </c>
      <c r="AA12" s="11">
        <f>'total mil euro'!AA12/POPULATION!AA13*1000000</f>
        <v>282.99774328217342</v>
      </c>
      <c r="AB12" s="11">
        <f>'total mil euro'!AB12/POPULATION!AB13*1000000</f>
        <v>302.91404762039627</v>
      </c>
      <c r="AC12" s="11">
        <f>'total mil euro'!AC12/POPULATION!AC13*1000000</f>
        <v>631.71771808461074</v>
      </c>
      <c r="AD12" s="11">
        <f>'total mil euro'!AD12/POPULATION!AD13*1000000</f>
        <v>492.61210569333917</v>
      </c>
      <c r="AE12" s="11">
        <f>'total mil euro'!AE12/POPULATION!AE13*1000000</f>
        <v>480.60804151001298</v>
      </c>
    </row>
    <row r="13" spans="1:31" ht="11.35" customHeight="1" x14ac:dyDescent="0.45">
      <c r="A13" s="5" t="s">
        <v>45</v>
      </c>
      <c r="B13" s="11">
        <f>'total mil euro'!B13/POPULATION!B14*1000000</f>
        <v>116.65742941583898</v>
      </c>
      <c r="C13" s="11">
        <f>'total mil euro'!C13/POPULATION!C14*1000000</f>
        <v>125.69390187944514</v>
      </c>
      <c r="D13" s="11">
        <f>'total mil euro'!D13/POPULATION!D14*1000000</f>
        <v>121.46118535431241</v>
      </c>
      <c r="E13" s="11">
        <f>'total mil euro'!E13/POPULATION!E14*1000000</f>
        <v>126.14178388940807</v>
      </c>
      <c r="F13" s="11">
        <f>'total mil euro'!F13/POPULATION!F14*1000000</f>
        <v>138.65816826489529</v>
      </c>
      <c r="G13" s="11">
        <f>'total mil euro'!G13/POPULATION!G14*1000000</f>
        <v>147.05249940212676</v>
      </c>
      <c r="H13" s="11">
        <f>'total mil euro'!H13/POPULATION!H14*1000000</f>
        <v>172.20537045103575</v>
      </c>
      <c r="I13" s="11">
        <f>'total mil euro'!I13/POPULATION!I14*1000000</f>
        <v>194.07652956294672</v>
      </c>
      <c r="J13" s="11">
        <f>'total mil euro'!J13/POPULATION!J14*1000000</f>
        <v>202.95116608057435</v>
      </c>
      <c r="K13" s="11">
        <f>'total mil euro'!K13/POPULATION!K14*1000000</f>
        <v>229.06724018319338</v>
      </c>
      <c r="L13" s="11">
        <f>'total mil euro'!L13/POPULATION!L14*1000000</f>
        <v>265.56020259136932</v>
      </c>
      <c r="M13" s="11">
        <f>'total mil euro'!M13/POPULATION!M14*1000000</f>
        <v>288.57023329505904</v>
      </c>
      <c r="N13" s="11">
        <f>'total mil euro'!N13/POPULATION!N14*1000000</f>
        <v>311.93946929038958</v>
      </c>
      <c r="O13" s="11">
        <f>'total mil euro'!O13/POPULATION!O14*1000000</f>
        <v>352.28089891333838</v>
      </c>
      <c r="P13" s="11">
        <f>'total mil euro'!P13/POPULATION!P14*1000000</f>
        <v>328.7599598034987</v>
      </c>
      <c r="Q13" s="11">
        <f>'total mil euro'!Q13/POPULATION!Q14*1000000</f>
        <v>341.94321439467916</v>
      </c>
      <c r="R13" s="11">
        <f>'total mil euro'!R13/POPULATION!R14*1000000</f>
        <v>366.75680915244226</v>
      </c>
      <c r="S13" s="11">
        <f>'total mil euro'!S13/POPULATION!S14*1000000</f>
        <v>343.29150264458099</v>
      </c>
      <c r="T13" s="11">
        <f>'total mil euro'!T13/POPULATION!T14*1000000</f>
        <v>318.68677863756847</v>
      </c>
      <c r="U13" s="11">
        <f>'total mil euro'!U13/POPULATION!U14*1000000</f>
        <v>318.38152569831931</v>
      </c>
      <c r="V13" s="11">
        <f>'total mil euro'!V13/POPULATION!V14*1000000</f>
        <v>329.97146117367402</v>
      </c>
      <c r="W13" s="11">
        <f>'total mil euro'!W13/POPULATION!W14*1000000</f>
        <v>353.27226300410189</v>
      </c>
      <c r="X13" s="11">
        <f>'total mil euro'!X13/POPULATION!X14*1000000</f>
        <v>368.37567895096049</v>
      </c>
      <c r="Y13" s="11">
        <f>'total mil euro'!Y13/POPULATION!Y14*1000000</f>
        <v>389.17234642044741</v>
      </c>
      <c r="Z13" s="11">
        <f>'total mil euro'!Z13/POPULATION!Z14*1000000</f>
        <v>431.45035587522767</v>
      </c>
      <c r="AA13" s="11">
        <f>'total mil euro'!AA13/POPULATION!AA14*1000000</f>
        <v>387.88887798967255</v>
      </c>
      <c r="AB13" s="11">
        <f>'total mil euro'!AB13/POPULATION!AB14*1000000</f>
        <v>416.72304359972844</v>
      </c>
      <c r="AC13" s="11">
        <f>'total mil euro'!AC13/POPULATION!AC14*1000000</f>
        <v>387.62418692467145</v>
      </c>
      <c r="AD13" s="11">
        <f>'total mil euro'!AD13/POPULATION!AD14*1000000</f>
        <v>457.82652717900828</v>
      </c>
      <c r="AE13" s="11">
        <f>'total mil euro'!AE13/POPULATION!AE14*1000000</f>
        <v>425.78015523062817</v>
      </c>
    </row>
    <row r="14" spans="1:31" ht="11.35" customHeight="1" x14ac:dyDescent="0.45">
      <c r="A14" s="5" t="s">
        <v>46</v>
      </c>
      <c r="B14" s="11">
        <f>'total mil euro'!B14/POPULATION!B15*1000000</f>
        <v>1169.4324731513475</v>
      </c>
      <c r="C14" s="11">
        <f>'total mil euro'!C14/POPULATION!C15*1000000</f>
        <v>1277.6738721777665</v>
      </c>
      <c r="D14" s="11">
        <f>'total mil euro'!D14/POPULATION!D15*1000000</f>
        <v>1326.0169766721938</v>
      </c>
      <c r="E14" s="11">
        <f>'total mil euro'!E14/POPULATION!E15*1000000</f>
        <v>1571.6147358003798</v>
      </c>
      <c r="F14" s="11">
        <f>'total mil euro'!F14/POPULATION!F15*1000000</f>
        <v>1660.0888629260478</v>
      </c>
      <c r="G14" s="11">
        <f>'total mil euro'!G14/POPULATION!G15*1000000</f>
        <v>1614.4292141492904</v>
      </c>
      <c r="H14" s="11">
        <f>'total mil euro'!H14/POPULATION!H15*1000000</f>
        <v>1657.3880414535822</v>
      </c>
      <c r="I14" s="11">
        <f>'total mil euro'!I14/POPULATION!I15*1000000</f>
        <v>1767.431879492299</v>
      </c>
      <c r="J14" s="11">
        <f>'total mil euro'!J14/POPULATION!J15*1000000</f>
        <v>1726.4155131589873</v>
      </c>
      <c r="K14" s="11">
        <f>'total mil euro'!K14/POPULATION!K15*1000000</f>
        <v>1870.6953409267755</v>
      </c>
      <c r="L14" s="11">
        <f>'total mil euro'!L14/POPULATION!L15*1000000</f>
        <v>1935.6858339008077</v>
      </c>
      <c r="M14" s="11">
        <f>'total mil euro'!M14/POPULATION!M15*1000000</f>
        <v>1946.7544572883921</v>
      </c>
      <c r="N14" s="11">
        <f>'total mil euro'!N14/POPULATION!N15*1000000</f>
        <v>2034.4940522305146</v>
      </c>
      <c r="O14" s="11">
        <f>'total mil euro'!O14/POPULATION!O15*1000000</f>
        <v>1840.4190371765469</v>
      </c>
      <c r="P14" s="11">
        <f>'total mil euro'!P14/POPULATION!P15*1000000</f>
        <v>1675.6277067509081</v>
      </c>
      <c r="Q14" s="11">
        <f>'total mil euro'!Q14/POPULATION!Q15*1000000</f>
        <v>1764.939912241555</v>
      </c>
      <c r="R14" s="11">
        <f>'total mil euro'!R14/POPULATION!R15*1000000</f>
        <v>1790.5495566328118</v>
      </c>
      <c r="S14" s="11">
        <f>'total mil euro'!S14/POPULATION!S15*1000000</f>
        <v>1809.0836044552154</v>
      </c>
      <c r="T14" s="11">
        <f>'total mil euro'!T14/POPULATION!T15*1000000</f>
        <v>1906.8337216035047</v>
      </c>
      <c r="U14" s="11">
        <f>'total mil euro'!U14/POPULATION!U15*1000000</f>
        <v>1892.8923352232491</v>
      </c>
      <c r="V14" s="11">
        <f>'total mil euro'!V14/POPULATION!V15*1000000</f>
        <v>1916.4392553335283</v>
      </c>
      <c r="W14" s="11">
        <f>'total mil euro'!W14/POPULATION!W15*1000000</f>
        <v>1941.7456845686304</v>
      </c>
      <c r="X14" s="11">
        <f>'total mil euro'!X14/POPULATION!X15*1000000</f>
        <v>1876.9827070804201</v>
      </c>
      <c r="Y14" s="11">
        <f>'total mil euro'!Y14/POPULATION!Y15*1000000</f>
        <v>1870.760172213679</v>
      </c>
      <c r="Z14" s="11">
        <f>'total mil euro'!Z14/POPULATION!Z15*1000000</f>
        <v>1764.8031434628626</v>
      </c>
      <c r="AA14" s="11">
        <f>'total mil euro'!AA14/POPULATION!AA15*1000000</f>
        <v>1698.7261889243991</v>
      </c>
      <c r="AB14" s="11">
        <f>'total mil euro'!AB14/POPULATION!AB15*1000000</f>
        <v>1661.5659639608941</v>
      </c>
      <c r="AC14" s="11">
        <f>'total mil euro'!AC14/POPULATION!AC15*1000000</f>
        <v>1493.405886178751</v>
      </c>
      <c r="AD14" s="11">
        <f>'total mil euro'!AD14/POPULATION!AD15*1000000</f>
        <v>1303.7672515538577</v>
      </c>
      <c r="AE14" s="11">
        <f>'total mil euro'!AE14/POPULATION!AE15*1000000</f>
        <v>1377.3539739742462</v>
      </c>
    </row>
    <row r="15" spans="1:31" ht="11.35" customHeight="1" x14ac:dyDescent="0.45">
      <c r="A15" s="5" t="s">
        <v>47</v>
      </c>
      <c r="B15" s="11">
        <f>'total mil euro'!B15/POPULATION!B16*1000000</f>
        <v>516.06145373866661</v>
      </c>
      <c r="C15" s="11">
        <f>'total mil euro'!C15/POPULATION!C16*1000000</f>
        <v>517.30632831981336</v>
      </c>
      <c r="D15" s="11">
        <f>'total mil euro'!D15/POPULATION!D16*1000000</f>
        <v>506.01836347150561</v>
      </c>
      <c r="E15" s="11">
        <f>'total mil euro'!E15/POPULATION!E16*1000000</f>
        <v>509.36077302688398</v>
      </c>
      <c r="F15" s="11">
        <f>'total mil euro'!F15/POPULATION!F16*1000000</f>
        <v>564.83042757372039</v>
      </c>
      <c r="G15" s="11">
        <f>'total mil euro'!G15/POPULATION!G16*1000000</f>
        <v>620.26344431026075</v>
      </c>
      <c r="H15" s="11">
        <f>'total mil euro'!H15/POPULATION!H16*1000000</f>
        <v>683.34931121666864</v>
      </c>
      <c r="I15" s="11">
        <f>'total mil euro'!I15/POPULATION!I16*1000000</f>
        <v>693.79895216064756</v>
      </c>
      <c r="J15" s="11">
        <f>'total mil euro'!J15/POPULATION!J16*1000000</f>
        <v>741.83987046728794</v>
      </c>
      <c r="K15" s="11">
        <f>'total mil euro'!K15/POPULATION!K16*1000000</f>
        <v>737.28060104344661</v>
      </c>
      <c r="L15" s="11">
        <f>'total mil euro'!L15/POPULATION!L16*1000000</f>
        <v>737.41059319280464</v>
      </c>
      <c r="M15" s="11">
        <f>'total mil euro'!M15/POPULATION!M16*1000000</f>
        <v>758.5458622568392</v>
      </c>
      <c r="N15" s="11">
        <f>'total mil euro'!N15/POPULATION!N16*1000000</f>
        <v>762.5836321795714</v>
      </c>
      <c r="O15" s="11">
        <f>'total mil euro'!O15/POPULATION!O16*1000000</f>
        <v>780.12268797584636</v>
      </c>
      <c r="P15" s="11">
        <f>'total mil euro'!P15/POPULATION!P16*1000000</f>
        <v>809.50113189430795</v>
      </c>
      <c r="Q15" s="11">
        <f>'total mil euro'!Q15/POPULATION!Q16*1000000</f>
        <v>780.47968774260107</v>
      </c>
      <c r="R15" s="11">
        <f>'total mil euro'!R15/POPULATION!R16*1000000</f>
        <v>899.81478287800246</v>
      </c>
      <c r="S15" s="11">
        <f>'total mil euro'!S15/POPULATION!S16*1000000</f>
        <v>904.05699638606256</v>
      </c>
      <c r="T15" s="11">
        <f>'total mil euro'!T15/POPULATION!T16*1000000</f>
        <v>971.26628957376124</v>
      </c>
      <c r="U15" s="11">
        <f>'total mil euro'!U15/POPULATION!U16*1000000</f>
        <v>1012.4869218685252</v>
      </c>
      <c r="V15" s="11">
        <f>'total mil euro'!V15/POPULATION!V16*1000000</f>
        <v>995.55975447875971</v>
      </c>
      <c r="W15" s="11">
        <f>'total mil euro'!W15/POPULATION!W16*1000000</f>
        <v>1003.4963627439961</v>
      </c>
      <c r="X15" s="11">
        <f>'total mil euro'!X15/POPULATION!X16*1000000</f>
        <v>1033.1833755196349</v>
      </c>
      <c r="Y15" s="11">
        <f>'total mil euro'!Y15/POPULATION!Y16*1000000</f>
        <v>1021.3383117964605</v>
      </c>
      <c r="Z15" s="11">
        <f>'total mil euro'!Z15/POPULATION!Z16*1000000</f>
        <v>1032.5682080363736</v>
      </c>
      <c r="AA15" s="11">
        <f>'total mil euro'!AA15/POPULATION!AA16*1000000</f>
        <v>996.28804606689323</v>
      </c>
      <c r="AB15" s="11">
        <f>'total mil euro'!AB15/POPULATION!AB16*1000000</f>
        <v>986.12193410161808</v>
      </c>
      <c r="AC15" s="11">
        <f>'total mil euro'!AC15/POPULATION!AC16*1000000</f>
        <v>879.13897649803471</v>
      </c>
      <c r="AD15" s="11">
        <f>'total mil euro'!AD15/POPULATION!AD16*1000000</f>
        <v>851.68764051700111</v>
      </c>
      <c r="AE15" s="11">
        <f>'total mil euro'!AE15/POPULATION!AE16*1000000</f>
        <v>908.19065293592575</v>
      </c>
    </row>
    <row r="16" spans="1:31" ht="11.35" customHeight="1" x14ac:dyDescent="0.45">
      <c r="A16" s="5" t="s">
        <v>48</v>
      </c>
      <c r="B16" s="11">
        <f>'total mil euro'!B16/POPULATION!B17*1000000</f>
        <v>17.685548055176699</v>
      </c>
      <c r="C16" s="11">
        <f>'total mil euro'!C16/POPULATION!C17*1000000</f>
        <v>36.956424116890915</v>
      </c>
      <c r="D16" s="11">
        <f>'total mil euro'!D16/POPULATION!D17*1000000</f>
        <v>48.492314345133281</v>
      </c>
      <c r="E16" s="11">
        <f>'total mil euro'!E16/POPULATION!E17*1000000</f>
        <v>68.488823996428039</v>
      </c>
      <c r="F16" s="11">
        <f>'total mil euro'!F16/POPULATION!F17*1000000</f>
        <v>65.739245684389275</v>
      </c>
      <c r="G16" s="11">
        <f>'total mil euro'!G16/POPULATION!G17*1000000</f>
        <v>74.497769848349691</v>
      </c>
      <c r="H16" s="11">
        <f>'total mil euro'!H16/POPULATION!H17*1000000</f>
        <v>105.80016083634901</v>
      </c>
      <c r="I16" s="11">
        <f>'total mil euro'!I16/POPULATION!I17*1000000</f>
        <v>111.73753713381183</v>
      </c>
      <c r="J16" s="11">
        <f>'total mil euro'!J16/POPULATION!J17*1000000</f>
        <v>119.64164951752122</v>
      </c>
      <c r="K16" s="11">
        <f>'total mil euro'!K16/POPULATION!K17*1000000</f>
        <v>149.21866422689845</v>
      </c>
      <c r="L16" s="11">
        <f>'total mil euro'!L16/POPULATION!L17*1000000</f>
        <v>188.18854178165361</v>
      </c>
      <c r="M16" s="11">
        <f>'total mil euro'!M16/POPULATION!M17*1000000</f>
        <v>219.10861035018877</v>
      </c>
      <c r="N16" s="11">
        <f>'total mil euro'!N16/POPULATION!N17*1000000</f>
        <v>269.59908259613377</v>
      </c>
      <c r="O16" s="11">
        <f>'total mil euro'!O16/POPULATION!O17*1000000</f>
        <v>296.42718388571774</v>
      </c>
      <c r="P16" s="11">
        <f>'total mil euro'!P16/POPULATION!P17*1000000</f>
        <v>332.30269363798345</v>
      </c>
      <c r="Q16" s="11">
        <f>'total mil euro'!Q16/POPULATION!Q17*1000000</f>
        <v>364.12933420336162</v>
      </c>
      <c r="R16" s="11">
        <f>'total mil euro'!R16/POPULATION!R17*1000000</f>
        <v>376.4496186995172</v>
      </c>
      <c r="S16" s="11">
        <f>'total mil euro'!S16/POPULATION!S17*1000000</f>
        <v>423.28162104772281</v>
      </c>
      <c r="T16" s="11">
        <f>'total mil euro'!T16/POPULATION!T17*1000000</f>
        <v>416.17241363638431</v>
      </c>
      <c r="U16" s="11">
        <f>'total mil euro'!U16/POPULATION!U17*1000000</f>
        <v>448.55713437790456</v>
      </c>
      <c r="V16" s="11">
        <f>'total mil euro'!V16/POPULATION!V17*1000000</f>
        <v>478.66328990698696</v>
      </c>
      <c r="W16" s="11">
        <f>'total mil euro'!W16/POPULATION!W17*1000000</f>
        <v>546.8621765059911</v>
      </c>
      <c r="X16" s="11">
        <f>'total mil euro'!X16/POPULATION!X17*1000000</f>
        <v>580.6169644316243</v>
      </c>
      <c r="Y16" s="11">
        <f>'total mil euro'!Y16/POPULATION!Y17*1000000</f>
        <v>592.63925623875684</v>
      </c>
      <c r="Z16" s="11">
        <f>'total mil euro'!Z16/POPULATION!Z17*1000000</f>
        <v>735.63955858154316</v>
      </c>
      <c r="AA16" s="11">
        <f>'total mil euro'!AA16/POPULATION!AA17*1000000</f>
        <v>562.44055573614582</v>
      </c>
      <c r="AB16" s="11">
        <f>'total mil euro'!AB16/POPULATION!AB17*1000000</f>
        <v>615.66777036963526</v>
      </c>
      <c r="AC16" s="11">
        <f>'total mil euro'!AC16/POPULATION!AC17*1000000</f>
        <v>693.7323734265608</v>
      </c>
      <c r="AD16" s="11">
        <f>'total mil euro'!AD16/POPULATION!AD17*1000000</f>
        <v>728.56845822924936</v>
      </c>
      <c r="AE16" s="11">
        <f>'total mil euro'!AE16/POPULATION!AE17*1000000</f>
        <v>754.92093836633364</v>
      </c>
    </row>
    <row r="17" spans="1:31" ht="11.35" customHeight="1" x14ac:dyDescent="0.45">
      <c r="A17" s="5" t="s">
        <v>49</v>
      </c>
      <c r="B17" s="11">
        <f>'total mil euro'!B17/POPULATION!B18*1000000</f>
        <v>435.0435302034652</v>
      </c>
      <c r="C17" s="11">
        <f>'total mil euro'!C17/POPULATION!C18*1000000</f>
        <v>500.51034995227985</v>
      </c>
      <c r="D17" s="11">
        <f>'total mil euro'!D17/POPULATION!D18*1000000</f>
        <v>588.41216923327374</v>
      </c>
      <c r="E17" s="11">
        <f>'total mil euro'!E17/POPULATION!E18*1000000</f>
        <v>639.22102915860944</v>
      </c>
      <c r="F17" s="11">
        <f>'total mil euro'!F17/POPULATION!F18*1000000</f>
        <v>725.00687297930392</v>
      </c>
      <c r="G17" s="11">
        <f>'total mil euro'!G17/POPULATION!G18*1000000</f>
        <v>787.85143339691035</v>
      </c>
      <c r="H17" s="11">
        <f>'total mil euro'!H17/POPULATION!H18*1000000</f>
        <v>725.20411408629184</v>
      </c>
      <c r="I17" s="11">
        <f>'total mil euro'!I17/POPULATION!I18*1000000</f>
        <v>792.67338888971517</v>
      </c>
      <c r="J17" s="11">
        <f>'total mil euro'!J17/POPULATION!J18*1000000</f>
        <v>832.51286328030108</v>
      </c>
      <c r="K17" s="11">
        <f>'total mil euro'!K17/POPULATION!K18*1000000</f>
        <v>951.98358043025166</v>
      </c>
      <c r="L17" s="11">
        <f>'total mil euro'!L17/POPULATION!L18*1000000</f>
        <v>1026.2053977068208</v>
      </c>
      <c r="M17" s="11">
        <f>'total mil euro'!M17/POPULATION!M18*1000000</f>
        <v>1062.2467418032982</v>
      </c>
      <c r="N17" s="11">
        <f>'total mil euro'!N17/POPULATION!N18*1000000</f>
        <v>1111.1748574577925</v>
      </c>
      <c r="O17" s="11">
        <f>'total mil euro'!O17/POPULATION!O18*1000000</f>
        <v>967.78093955154657</v>
      </c>
      <c r="P17" s="11">
        <f>'total mil euro'!P17/POPULATION!P18*1000000</f>
        <v>850.95686615551824</v>
      </c>
      <c r="Q17" s="11">
        <f>'total mil euro'!Q17/POPULATION!Q18*1000000</f>
        <v>902.01889116609823</v>
      </c>
      <c r="R17" s="11">
        <f>'total mil euro'!R17/POPULATION!R18*1000000</f>
        <v>920.71309666561001</v>
      </c>
      <c r="S17" s="11">
        <f>'total mil euro'!S17/POPULATION!S18*1000000</f>
        <v>909.38744951013086</v>
      </c>
      <c r="T17" s="11">
        <f>'total mil euro'!T17/POPULATION!T18*1000000</f>
        <v>964.22626768007751</v>
      </c>
      <c r="U17" s="11">
        <f>'total mil euro'!U17/POPULATION!U18*1000000</f>
        <v>1009.9308904208241</v>
      </c>
      <c r="V17" s="11">
        <f>'total mil euro'!V17/POPULATION!V18*1000000</f>
        <v>1064.0544874569948</v>
      </c>
      <c r="W17" s="11">
        <f>'total mil euro'!W17/POPULATION!W18*1000000</f>
        <v>1082.7719693645286</v>
      </c>
      <c r="X17" s="11">
        <f>'total mil euro'!X17/POPULATION!X18*1000000</f>
        <v>1090.2685617494906</v>
      </c>
      <c r="Y17" s="11">
        <f>'total mil euro'!Y17/POPULATION!Y18*1000000</f>
        <v>1054.2795495551343</v>
      </c>
      <c r="Z17" s="11">
        <f>'total mil euro'!Z17/POPULATION!Z18*1000000</f>
        <v>1021.1846986960943</v>
      </c>
      <c r="AA17" s="11">
        <f>'total mil euro'!AA17/POPULATION!AA18*1000000</f>
        <v>898.81698120735746</v>
      </c>
      <c r="AB17" s="11">
        <f>'total mil euro'!AB17/POPULATION!AB18*1000000</f>
        <v>983.64619106817531</v>
      </c>
      <c r="AC17" s="11">
        <f>'total mil euro'!AC17/POPULATION!AC18*1000000</f>
        <v>859.07296018432839</v>
      </c>
      <c r="AD17" s="11">
        <f>'total mil euro'!AD17/POPULATION!AD18*1000000</f>
        <v>935.57777400479381</v>
      </c>
      <c r="AE17" s="11">
        <f>'total mil euro'!AE17/POPULATION!AE18*1000000</f>
        <v>1028.0003610080644</v>
      </c>
    </row>
    <row r="18" spans="1:31" ht="11.35" customHeight="1" x14ac:dyDescent="0.45">
      <c r="A18" s="5" t="s">
        <v>50</v>
      </c>
      <c r="B18" s="11">
        <f>'total mil euro'!B18/POPULATION!B19*1000000</f>
        <v>312.43341265206357</v>
      </c>
      <c r="C18" s="11">
        <f>'total mil euro'!C18/POPULATION!C19*1000000</f>
        <v>345.88734089561979</v>
      </c>
      <c r="D18" s="11">
        <f>'total mil euro'!D18/POPULATION!D19*1000000</f>
        <v>351.91984546065129</v>
      </c>
      <c r="E18" s="11">
        <f>'total mil euro'!E18/POPULATION!E19*1000000</f>
        <v>340.01917097234235</v>
      </c>
      <c r="F18" s="11">
        <f>'total mil euro'!F18/POPULATION!F19*1000000</f>
        <v>333.91863315248338</v>
      </c>
      <c r="G18" s="11">
        <f>'total mil euro'!G18/POPULATION!G19*1000000</f>
        <v>296.09228307549989</v>
      </c>
      <c r="H18" s="11">
        <f>'total mil euro'!H18/POPULATION!H19*1000000</f>
        <v>310.07783415062528</v>
      </c>
      <c r="I18" s="11">
        <f>'total mil euro'!I18/POPULATION!I19*1000000</f>
        <v>341.00905249078045</v>
      </c>
      <c r="J18" s="11">
        <f>'total mil euro'!J18/POPULATION!J19*1000000</f>
        <v>353.25038911593043</v>
      </c>
      <c r="K18" s="11">
        <f>'total mil euro'!K18/POPULATION!K19*1000000</f>
        <v>376.22131392460346</v>
      </c>
      <c r="L18" s="11">
        <f>'total mil euro'!L18/POPULATION!L19*1000000</f>
        <v>383.59469064109174</v>
      </c>
      <c r="M18" s="11">
        <f>'total mil euro'!M18/POPULATION!M19*1000000</f>
        <v>402.82729695159782</v>
      </c>
      <c r="N18" s="11">
        <f>'total mil euro'!N18/POPULATION!N19*1000000</f>
        <v>438.29254201338023</v>
      </c>
      <c r="O18" s="11">
        <f>'total mil euro'!O18/POPULATION!O19*1000000</f>
        <v>449.50983809057044</v>
      </c>
      <c r="P18" s="11">
        <f>'total mil euro'!P18/POPULATION!P19*1000000</f>
        <v>445.61637063312406</v>
      </c>
      <c r="Q18" s="11">
        <f>'total mil euro'!Q18/POPULATION!Q19*1000000</f>
        <v>537.62430313664834</v>
      </c>
      <c r="R18" s="11">
        <f>'total mil euro'!R18/POPULATION!R19*1000000</f>
        <v>540.93211854801132</v>
      </c>
      <c r="S18" s="11">
        <f>'total mil euro'!S18/POPULATION!S19*1000000</f>
        <v>626.58469346976472</v>
      </c>
      <c r="T18" s="11">
        <f>'total mil euro'!T18/POPULATION!T19*1000000</f>
        <v>659.38033185045617</v>
      </c>
      <c r="U18" s="11">
        <f>'total mil euro'!U18/POPULATION!U19*1000000</f>
        <v>667.32181084887191</v>
      </c>
      <c r="V18" s="11">
        <f>'total mil euro'!V18/POPULATION!V19*1000000</f>
        <v>684.13495567265829</v>
      </c>
      <c r="W18" s="11">
        <f>'total mil euro'!W18/POPULATION!W19*1000000</f>
        <v>678.2225000151368</v>
      </c>
      <c r="X18" s="11">
        <f>'total mil euro'!X18/POPULATION!X19*1000000</f>
        <v>724.63043987654657</v>
      </c>
      <c r="Y18" s="11">
        <f>'total mil euro'!Y18/POPULATION!Y19*1000000</f>
        <v>693.89395815412581</v>
      </c>
      <c r="Z18" s="11">
        <f>'total mil euro'!Z18/POPULATION!Z19*1000000</f>
        <v>723.63383789304453</v>
      </c>
      <c r="AA18" s="11">
        <f>'total mil euro'!AA18/POPULATION!AA19*1000000</f>
        <v>642.44443227860188</v>
      </c>
      <c r="AB18" s="11">
        <f>'total mil euro'!AB18/POPULATION!AB19*1000000</f>
        <v>729.58304343278621</v>
      </c>
      <c r="AC18" s="11">
        <f>'total mil euro'!AC18/POPULATION!AC19*1000000</f>
        <v>1112.1597051777894</v>
      </c>
      <c r="AD18" s="11">
        <f>'total mil euro'!AD18/POPULATION!AD19*1000000</f>
        <v>889.93630759398218</v>
      </c>
      <c r="AE18" s="11">
        <f>'total mil euro'!AE18/POPULATION!AE19*1000000</f>
        <v>858.73194494400605</v>
      </c>
    </row>
    <row r="19" spans="1:31" ht="11.35" customHeight="1" x14ac:dyDescent="0.45">
      <c r="A19" s="5" t="s">
        <v>51</v>
      </c>
      <c r="B19" s="11">
        <f>'total mil euro'!B19/POPULATION!B20*1000000</f>
        <v>251.66697670917301</v>
      </c>
      <c r="C19" s="11">
        <f>'total mil euro'!C19/POPULATION!C20*1000000</f>
        <v>267.50326451414469</v>
      </c>
      <c r="D19" s="11">
        <f>'total mil euro'!D19/POPULATION!D20*1000000</f>
        <v>266.59058546689801</v>
      </c>
      <c r="E19" s="11">
        <f>'total mil euro'!E19/POPULATION!E20*1000000</f>
        <v>304.9630837649251</v>
      </c>
      <c r="F19" s="11">
        <f>'total mil euro'!F19/POPULATION!F20*1000000</f>
        <v>332.77450770611671</v>
      </c>
      <c r="G19" s="11">
        <f>'total mil euro'!G19/POPULATION!G20*1000000</f>
        <v>340.7694089440962</v>
      </c>
      <c r="H19" s="11">
        <f>'total mil euro'!H19/POPULATION!H20*1000000</f>
        <v>348.18173468473128</v>
      </c>
      <c r="I19" s="11">
        <f>'total mil euro'!I19/POPULATION!I20*1000000</f>
        <v>367.75673848243457</v>
      </c>
      <c r="J19" s="11">
        <f>'total mil euro'!J19/POPULATION!J20*1000000</f>
        <v>383.11805644843514</v>
      </c>
      <c r="K19" s="11">
        <f>'total mil euro'!K19/POPULATION!K20*1000000</f>
        <v>395.08829800403322</v>
      </c>
      <c r="L19" s="11">
        <f>'total mil euro'!L19/POPULATION!L20*1000000</f>
        <v>406.96282443101768</v>
      </c>
      <c r="M19" s="11">
        <f>'total mil euro'!M19/POPULATION!M20*1000000</f>
        <v>417.42813236573141</v>
      </c>
      <c r="N19" s="11">
        <f>'total mil euro'!N19/POPULATION!N20*1000000</f>
        <v>425.94936400776106</v>
      </c>
      <c r="O19" s="11">
        <f>'total mil euro'!O19/POPULATION!O20*1000000</f>
        <v>398.06048482974387</v>
      </c>
      <c r="P19" s="11">
        <f>'total mil euro'!P19/POPULATION!P20*1000000</f>
        <v>374.89776277408168</v>
      </c>
      <c r="Q19" s="11">
        <f>'total mil euro'!Q19/POPULATION!Q20*1000000</f>
        <v>380.1524047167207</v>
      </c>
      <c r="R19" s="11">
        <f>'total mil euro'!R19/POPULATION!R20*1000000</f>
        <v>361.41035666740822</v>
      </c>
      <c r="S19" s="11">
        <f>'total mil euro'!S19/POPULATION!S20*1000000</f>
        <v>348.68904346831306</v>
      </c>
      <c r="T19" s="11">
        <f>'total mil euro'!T19/POPULATION!T20*1000000</f>
        <v>419.82203964022591</v>
      </c>
      <c r="U19" s="11">
        <f>'total mil euro'!U19/POPULATION!U20*1000000</f>
        <v>416.68329901334624</v>
      </c>
      <c r="V19" s="11">
        <f>'total mil euro'!V19/POPULATION!V20*1000000</f>
        <v>449.49220175832698</v>
      </c>
      <c r="W19" s="11">
        <f>'total mil euro'!W19/POPULATION!W20*1000000</f>
        <v>448.95521400299072</v>
      </c>
      <c r="X19" s="11">
        <f>'total mil euro'!X19/POPULATION!X20*1000000</f>
        <v>460.97208073579526</v>
      </c>
      <c r="Y19" s="11">
        <f>'total mil euro'!Y19/POPULATION!Y20*1000000</f>
        <v>475.03412472100484</v>
      </c>
      <c r="Z19" s="11">
        <f>'total mil euro'!Z19/POPULATION!Z20*1000000</f>
        <v>471.38735049724363</v>
      </c>
      <c r="AA19" s="11">
        <f>'total mil euro'!AA19/POPULATION!AA20*1000000</f>
        <v>416.26821054544723</v>
      </c>
      <c r="AB19" s="11">
        <f>'total mil euro'!AB19/POPULATION!AB20*1000000</f>
        <v>449.57049035334802</v>
      </c>
      <c r="AC19" s="11">
        <f>'total mil euro'!AC19/POPULATION!AC20*1000000</f>
        <v>435.17316996625783</v>
      </c>
      <c r="AD19" s="11">
        <f>'total mil euro'!AD19/POPULATION!AD20*1000000</f>
        <v>478.17047687340852</v>
      </c>
      <c r="AE19" s="11">
        <f>'total mil euro'!AE19/POPULATION!AE20*1000000</f>
        <v>527.42000952494664</v>
      </c>
    </row>
    <row r="20" spans="1:31" ht="11.35" customHeight="1" x14ac:dyDescent="0.45">
      <c r="A20" s="5" t="s">
        <v>52</v>
      </c>
      <c r="B20" s="11">
        <f>'total mil euro'!B20/POPULATION!B21*1000000</f>
        <v>515.83778637018793</v>
      </c>
      <c r="C20" s="11">
        <f>'total mil euro'!C20/POPULATION!C21*1000000</f>
        <v>541.95472328630058</v>
      </c>
      <c r="D20" s="11">
        <f>'total mil euro'!D20/POPULATION!D21*1000000</f>
        <v>524.48761925759254</v>
      </c>
      <c r="E20" s="11">
        <f>'total mil euro'!E20/POPULATION!E21*1000000</f>
        <v>546.22897076100116</v>
      </c>
      <c r="F20" s="11">
        <f>'total mil euro'!F20/POPULATION!F21*1000000</f>
        <v>550.49547168977676</v>
      </c>
      <c r="G20" s="11">
        <f>'total mil euro'!G20/POPULATION!G21*1000000</f>
        <v>527.19445704388374</v>
      </c>
      <c r="H20" s="11">
        <f>'total mil euro'!H20/POPULATION!H21*1000000</f>
        <v>492.49487305654384</v>
      </c>
      <c r="I20" s="11">
        <f>'total mil euro'!I20/POPULATION!I21*1000000</f>
        <v>529.0437118134015</v>
      </c>
      <c r="J20" s="11">
        <f>'total mil euro'!J20/POPULATION!J21*1000000</f>
        <v>519.12185305309924</v>
      </c>
      <c r="K20" s="11">
        <f>'total mil euro'!K20/POPULATION!K21*1000000</f>
        <v>565.54394952655502</v>
      </c>
      <c r="L20" s="11">
        <f>'total mil euro'!L20/POPULATION!L21*1000000</f>
        <v>561.0863419180929</v>
      </c>
      <c r="M20" s="11">
        <f>'total mil euro'!M20/POPULATION!M21*1000000</f>
        <v>568.56251028493205</v>
      </c>
      <c r="N20" s="11">
        <f>'total mil euro'!N20/POPULATION!N21*1000000</f>
        <v>568.85793109017959</v>
      </c>
      <c r="O20" s="11">
        <f>'total mil euro'!O20/POPULATION!O21*1000000</f>
        <v>569.54536344063706</v>
      </c>
      <c r="P20" s="11">
        <f>'total mil euro'!P20/POPULATION!P21*1000000</f>
        <v>557.79135880579508</v>
      </c>
      <c r="Q20" s="11">
        <f>'total mil euro'!Q20/POPULATION!Q21*1000000</f>
        <v>576.54901905471388</v>
      </c>
      <c r="R20" s="11">
        <f>'total mil euro'!R20/POPULATION!R21*1000000</f>
        <v>602.41259596353086</v>
      </c>
      <c r="S20" s="11">
        <f>'total mil euro'!S20/POPULATION!S21*1000000</f>
        <v>619.57520310030259</v>
      </c>
      <c r="T20" s="11">
        <f>'total mil euro'!T20/POPULATION!T21*1000000</f>
        <v>646.39899024928991</v>
      </c>
      <c r="U20" s="11">
        <f>'total mil euro'!U20/POPULATION!U21*1000000</f>
        <v>653.28133883908311</v>
      </c>
      <c r="V20" s="11">
        <f>'total mil euro'!V20/POPULATION!V21*1000000</f>
        <v>708.73170369330001</v>
      </c>
      <c r="W20" s="11">
        <f>'total mil euro'!W20/POPULATION!W21*1000000</f>
        <v>747.36198237439442</v>
      </c>
      <c r="X20" s="11">
        <f>'total mil euro'!X20/POPULATION!X21*1000000</f>
        <v>789.92883321217346</v>
      </c>
      <c r="Y20" s="11">
        <f>'total mil euro'!Y20/POPULATION!Y21*1000000</f>
        <v>831.61480199153095</v>
      </c>
      <c r="Z20" s="11">
        <f>'total mil euro'!Z20/POPULATION!Z21*1000000</f>
        <v>834.62040264215113</v>
      </c>
      <c r="AA20" s="11">
        <f>'total mil euro'!AA20/POPULATION!AA21*1000000</f>
        <v>730.71486823797341</v>
      </c>
      <c r="AB20" s="11">
        <f>'total mil euro'!AB20/POPULATION!AB21*1000000</f>
        <v>798.7619050206406</v>
      </c>
      <c r="AC20" s="11">
        <f>'total mil euro'!AC20/POPULATION!AC21*1000000</f>
        <v>790.08157572443156</v>
      </c>
      <c r="AD20" s="11">
        <f>'total mil euro'!AD20/POPULATION!AD21*1000000</f>
        <v>750.63114031753787</v>
      </c>
      <c r="AE20" s="11">
        <f>'total mil euro'!AE20/POPULATION!AE21*1000000</f>
        <v>790.96477795908311</v>
      </c>
    </row>
    <row r="21" spans="1:31" ht="11.35" customHeight="1" x14ac:dyDescent="0.45">
      <c r="A21" s="5" t="s">
        <v>53</v>
      </c>
      <c r="B21" s="11">
        <f>'total mil euro'!B21/POPULATION!B22*1000000</f>
        <v>118.31351353207725</v>
      </c>
      <c r="C21" s="11">
        <f>'total mil euro'!C21/POPULATION!C22*1000000</f>
        <v>129.05663556905915</v>
      </c>
      <c r="D21" s="11">
        <f>'total mil euro'!D21/POPULATION!D22*1000000</f>
        <v>127.0784120459878</v>
      </c>
      <c r="E21" s="11">
        <f>'total mil euro'!E21/POPULATION!E22*1000000</f>
        <v>144.12102595390775</v>
      </c>
      <c r="F21" s="11">
        <f>'total mil euro'!F21/POPULATION!F22*1000000</f>
        <v>145.98472432666441</v>
      </c>
      <c r="G21" s="11">
        <f>'total mil euro'!G21/POPULATION!G22*1000000</f>
        <v>177.82506083617642</v>
      </c>
      <c r="H21" s="11">
        <f>'total mil euro'!H21/POPULATION!H22*1000000</f>
        <v>212.0567881126953</v>
      </c>
      <c r="I21" s="11">
        <f>'total mil euro'!I21/POPULATION!I22*1000000</f>
        <v>269.1723644255456</v>
      </c>
      <c r="J21" s="11">
        <f>'total mil euro'!J21/POPULATION!J22*1000000</f>
        <v>294.20372259477904</v>
      </c>
      <c r="K21" s="11">
        <f>'total mil euro'!K21/POPULATION!K22*1000000</f>
        <v>309.99657432836511</v>
      </c>
      <c r="L21" s="11">
        <f>'total mil euro'!L21/POPULATION!L22*1000000</f>
        <v>323.99096143438635</v>
      </c>
      <c r="M21" s="11">
        <f>'total mil euro'!M21/POPULATION!M22*1000000</f>
        <v>373.35300952791277</v>
      </c>
      <c r="N21" s="11">
        <f>'total mil euro'!N21/POPULATION!N22*1000000</f>
        <v>413.91389418875031</v>
      </c>
      <c r="O21" s="11">
        <f>'total mil euro'!O21/POPULATION!O22*1000000</f>
        <v>422.86037903351297</v>
      </c>
      <c r="P21" s="11">
        <f>'total mil euro'!P21/POPULATION!P22*1000000</f>
        <v>393.26919417995657</v>
      </c>
      <c r="Q21" s="11">
        <f>'total mil euro'!Q21/POPULATION!Q22*1000000</f>
        <v>407.09093304967621</v>
      </c>
      <c r="R21" s="11">
        <f>'total mil euro'!R21/POPULATION!R22*1000000</f>
        <v>362.98179636290911</v>
      </c>
      <c r="S21" s="11">
        <f>'total mil euro'!S21/POPULATION!S22*1000000</f>
        <v>339.81885806869246</v>
      </c>
      <c r="T21" s="11">
        <f>'total mil euro'!T21/POPULATION!T22*1000000</f>
        <v>372.70325389383646</v>
      </c>
      <c r="U21" s="11">
        <f>'total mil euro'!U21/POPULATION!U22*1000000</f>
        <v>414.08069741504238</v>
      </c>
      <c r="V21" s="11">
        <f>'total mil euro'!V21/POPULATION!V22*1000000</f>
        <v>456.85693203521237</v>
      </c>
      <c r="W21" s="11">
        <f>'total mil euro'!W21/POPULATION!W22*1000000</f>
        <v>494.69453162160823</v>
      </c>
      <c r="X21" s="11">
        <f>'total mil euro'!X21/POPULATION!X22*1000000</f>
        <v>526.31811215589801</v>
      </c>
      <c r="Y21" s="11">
        <f>'total mil euro'!Y21/POPULATION!Y22*1000000</f>
        <v>571.81490062752516</v>
      </c>
      <c r="Z21" s="11">
        <f>'total mil euro'!Z21/POPULATION!Z22*1000000</f>
        <v>596.19631332968481</v>
      </c>
      <c r="AA21" s="11">
        <f>'total mil euro'!AA21/POPULATION!AA22*1000000</f>
        <v>523.11026968019155</v>
      </c>
      <c r="AB21" s="11">
        <f>'total mil euro'!AB21/POPULATION!AB22*1000000</f>
        <v>579.90108465753895</v>
      </c>
      <c r="AC21" s="11">
        <f>'total mil euro'!AC21/POPULATION!AC22*1000000</f>
        <v>594.98667246631214</v>
      </c>
      <c r="AD21" s="11">
        <f>'total mil euro'!AD21/POPULATION!AD22*1000000</f>
        <v>678.50738036414396</v>
      </c>
      <c r="AE21" s="11">
        <f>'total mil euro'!AE21/POPULATION!AE22*1000000</f>
        <v>747.17365529016695</v>
      </c>
    </row>
    <row r="22" spans="1:31" ht="11.35" customHeight="1" x14ac:dyDescent="0.45">
      <c r="A22" s="5" t="s">
        <v>54</v>
      </c>
      <c r="B22" s="11">
        <f>'total mil euro'!B22/POPULATION!B23*1000000</f>
        <v>545.62112776335005</v>
      </c>
      <c r="C22" s="11">
        <f>'total mil euro'!C22/POPULATION!C23*1000000</f>
        <v>609.23034940576258</v>
      </c>
      <c r="D22" s="11">
        <f>'total mil euro'!D22/POPULATION!D23*1000000</f>
        <v>641.62522766047414</v>
      </c>
      <c r="E22" s="11">
        <f>'total mil euro'!E22/POPULATION!E23*1000000</f>
        <v>643.52727581826343</v>
      </c>
      <c r="F22" s="11">
        <f>'total mil euro'!F22/POPULATION!F23*1000000</f>
        <v>690.64514786200562</v>
      </c>
      <c r="G22" s="11">
        <f>'total mil euro'!G22/POPULATION!G23*1000000</f>
        <v>662.3272304785628</v>
      </c>
      <c r="H22" s="11">
        <f>'total mil euro'!H22/POPULATION!H23*1000000</f>
        <v>688.07099464311284</v>
      </c>
      <c r="I22" s="11">
        <f>'total mil euro'!I22/POPULATION!I23*1000000</f>
        <v>691.18687171309875</v>
      </c>
      <c r="J22" s="11">
        <f>'total mil euro'!J22/POPULATION!J23*1000000</f>
        <v>726.58911882826351</v>
      </c>
      <c r="K22" s="11">
        <f>'total mil euro'!K22/POPULATION!K23*1000000</f>
        <v>712.90715699978421</v>
      </c>
      <c r="L22" s="11">
        <f>'total mil euro'!L22/POPULATION!L23*1000000</f>
        <v>743.22456228655972</v>
      </c>
      <c r="M22" s="11">
        <f>'total mil euro'!M22/POPULATION!M23*1000000</f>
        <v>766.55978085469167</v>
      </c>
      <c r="N22" s="11">
        <f>'total mil euro'!N22/POPULATION!N23*1000000</f>
        <v>756.13487954558764</v>
      </c>
      <c r="O22" s="11">
        <f>'total mil euro'!O22/POPULATION!O23*1000000</f>
        <v>724.53759818625099</v>
      </c>
      <c r="P22" s="11">
        <f>'total mil euro'!P22/POPULATION!P23*1000000</f>
        <v>796.60936397267801</v>
      </c>
      <c r="Q22" s="11">
        <f>'total mil euro'!Q22/POPULATION!Q23*1000000</f>
        <v>791.75322174538326</v>
      </c>
      <c r="R22" s="11">
        <f>'total mil euro'!R22/POPULATION!R23*1000000</f>
        <v>875.26798211471419</v>
      </c>
      <c r="S22" s="11">
        <f>'total mil euro'!S22/POPULATION!S23*1000000</f>
        <v>961.49774765687857</v>
      </c>
      <c r="T22" s="11">
        <f>'total mil euro'!T22/POPULATION!T23*1000000</f>
        <v>964.06095368325089</v>
      </c>
      <c r="U22" s="11">
        <f>'total mil euro'!U22/POPULATION!U23*1000000</f>
        <v>1031.1550986954096</v>
      </c>
      <c r="V22" s="11">
        <f>'total mil euro'!V22/POPULATION!V23*1000000</f>
        <v>987.35399759620509</v>
      </c>
      <c r="W22" s="11">
        <f>'total mil euro'!W22/POPULATION!W23*1000000</f>
        <v>1027.8953532654368</v>
      </c>
      <c r="X22" s="11">
        <f>'total mil euro'!X22/POPULATION!X23*1000000</f>
        <v>998.50609490437751</v>
      </c>
      <c r="Y22" s="11">
        <f>'total mil euro'!Y22/POPULATION!Y23*1000000</f>
        <v>1003.6910115890367</v>
      </c>
      <c r="Z22" s="11">
        <f>'total mil euro'!Z22/POPULATION!Z23*1000000</f>
        <v>1040.3621077354135</v>
      </c>
      <c r="AA22" s="11">
        <f>'total mil euro'!AA22/POPULATION!AA23*1000000</f>
        <v>911.12750238558772</v>
      </c>
      <c r="AB22" s="11">
        <f>'total mil euro'!AB22/POPULATION!AB23*1000000</f>
        <v>945.73905323758629</v>
      </c>
      <c r="AC22" s="11">
        <f>'total mil euro'!AC22/POPULATION!AC23*1000000</f>
        <v>769.0987245446322</v>
      </c>
      <c r="AD22" s="11">
        <f>'total mil euro'!AD22/POPULATION!AD23*1000000</f>
        <v>920.02669753773569</v>
      </c>
      <c r="AE22" s="11">
        <f>'total mil euro'!AE22/POPULATION!AE23*1000000</f>
        <v>1024.0247659748661</v>
      </c>
    </row>
    <row r="23" spans="1:31" ht="11.35" customHeight="1" x14ac:dyDescent="0.45">
      <c r="A23" s="5" t="s">
        <v>55</v>
      </c>
      <c r="B23" s="11">
        <f>'total mil euro'!B23/POPULATION!B24*1000000</f>
        <v>369.55433770427283</v>
      </c>
      <c r="C23" s="11">
        <f>'total mil euro'!C23/POPULATION!C24*1000000</f>
        <v>366.79551386262767</v>
      </c>
      <c r="D23" s="11">
        <f>'total mil euro'!D23/POPULATION!D24*1000000</f>
        <v>346.053581424946</v>
      </c>
      <c r="E23" s="11">
        <f>'total mil euro'!E23/POPULATION!E24*1000000</f>
        <v>374.60660678450563</v>
      </c>
      <c r="F23" s="11">
        <f>'total mil euro'!F23/POPULATION!F24*1000000</f>
        <v>390.60600824178243</v>
      </c>
      <c r="G23" s="11">
        <f>'total mil euro'!G23/POPULATION!G24*1000000</f>
        <v>451.68914564436921</v>
      </c>
      <c r="H23" s="11">
        <f>'total mil euro'!H23/POPULATION!H24*1000000</f>
        <v>522.31456141432352</v>
      </c>
      <c r="I23" s="11">
        <f>'total mil euro'!I23/POPULATION!I24*1000000</f>
        <v>530.72898875894884</v>
      </c>
      <c r="J23" s="11">
        <f>'total mil euro'!J23/POPULATION!J24*1000000</f>
        <v>689.69623942162195</v>
      </c>
      <c r="K23" s="11">
        <f>'total mil euro'!K23/POPULATION!K24*1000000</f>
        <v>765.9639808381047</v>
      </c>
      <c r="L23" s="11">
        <f>'total mil euro'!L23/POPULATION!L24*1000000</f>
        <v>748.3763421351664</v>
      </c>
      <c r="M23" s="11">
        <f>'total mil euro'!M23/POPULATION!M24*1000000</f>
        <v>742.99777020025181</v>
      </c>
      <c r="N23" s="11">
        <f>'total mil euro'!N23/POPULATION!N24*1000000</f>
        <v>795.89294855894332</v>
      </c>
      <c r="O23" s="11">
        <f>'total mil euro'!O23/POPULATION!O24*1000000</f>
        <v>806.07162132744577</v>
      </c>
      <c r="P23" s="11">
        <f>'total mil euro'!P23/POPULATION!P24*1000000</f>
        <v>718.4696271943584</v>
      </c>
      <c r="Q23" s="11">
        <f>'total mil euro'!Q23/POPULATION!Q24*1000000</f>
        <v>717.81380472202557</v>
      </c>
      <c r="R23" s="11">
        <f>'total mil euro'!R23/POPULATION!R24*1000000</f>
        <v>714.65231955663046</v>
      </c>
      <c r="S23" s="11">
        <f>'total mil euro'!S23/POPULATION!S24*1000000</f>
        <v>647.54394085458318</v>
      </c>
      <c r="T23" s="11">
        <f>'total mil euro'!T23/POPULATION!T24*1000000</f>
        <v>633.67614915153661</v>
      </c>
      <c r="U23" s="11">
        <f>'total mil euro'!U23/POPULATION!U24*1000000</f>
        <v>688.31159770799229</v>
      </c>
      <c r="V23" s="11">
        <f>'total mil euro'!V23/POPULATION!V24*1000000</f>
        <v>700.81059794667101</v>
      </c>
      <c r="W23" s="11">
        <f>'total mil euro'!W23/POPULATION!W24*1000000</f>
        <v>711.22436221004818</v>
      </c>
      <c r="X23" s="11">
        <f>'total mil euro'!X23/POPULATION!X24*1000000</f>
        <v>761.32515134306186</v>
      </c>
      <c r="Y23" s="11">
        <f>'total mil euro'!Y23/POPULATION!Y24*1000000</f>
        <v>768.60827611168202</v>
      </c>
      <c r="Z23" s="11">
        <f>'total mil euro'!Z23/POPULATION!Z24*1000000</f>
        <v>724.6397976171487</v>
      </c>
      <c r="AA23" s="11">
        <f>'total mil euro'!AA23/POPULATION!AA24*1000000</f>
        <v>645.01473246094713</v>
      </c>
      <c r="AB23" s="11">
        <f>'total mil euro'!AB23/POPULATION!AB24*1000000</f>
        <v>702.47879660045749</v>
      </c>
      <c r="AC23" s="11">
        <f>'total mil euro'!AC23/POPULATION!AC24*1000000</f>
        <v>680.53828713523001</v>
      </c>
      <c r="AD23" s="11">
        <f>'total mil euro'!AD23/POPULATION!AD24*1000000</f>
        <v>706.523342507091</v>
      </c>
      <c r="AE23" s="11">
        <f>'total mil euro'!AE23/POPULATION!AE24*1000000</f>
        <v>742.99048496168632</v>
      </c>
    </row>
    <row r="24" spans="1:31" ht="11.35" customHeight="1" x14ac:dyDescent="0.45">
      <c r="A24" s="5" t="s">
        <v>56</v>
      </c>
      <c r="B24" s="11">
        <f>'total mil euro'!B24/POPULATION!B25*1000000</f>
        <v>16.292220204912461</v>
      </c>
      <c r="C24" s="11">
        <f>'total mil euro'!C24/POPULATION!C25*1000000</f>
        <v>28.705855484300461</v>
      </c>
      <c r="D24" s="11">
        <f>'total mil euro'!D24/POPULATION!D25*1000000</f>
        <v>46.553822796076091</v>
      </c>
      <c r="E24" s="11">
        <f>'total mil euro'!E24/POPULATION!E25*1000000</f>
        <v>73.789991610173374</v>
      </c>
      <c r="F24" s="11">
        <f>'total mil euro'!F24/POPULATION!F25*1000000</f>
        <v>66.829273172260642</v>
      </c>
      <c r="G24" s="11">
        <f>'total mil euro'!G24/POPULATION!G25*1000000</f>
        <v>81.285964105696948</v>
      </c>
      <c r="H24" s="11">
        <f>'total mil euro'!H24/POPULATION!H25*1000000</f>
        <v>81.423176158247017</v>
      </c>
      <c r="I24" s="11">
        <f>'total mil euro'!I24/POPULATION!I25*1000000</f>
        <v>93.763087279552053</v>
      </c>
      <c r="J24" s="11">
        <f>'total mil euro'!J24/POPULATION!J25*1000000</f>
        <v>103.75360421677054</v>
      </c>
      <c r="K24" s="11">
        <f>'total mil euro'!K24/POPULATION!K25*1000000</f>
        <v>126.26728515453411</v>
      </c>
      <c r="L24" s="11">
        <f>'total mil euro'!L24/POPULATION!L25*1000000</f>
        <v>153.9966680357235</v>
      </c>
      <c r="M24" s="11">
        <f>'total mil euro'!M24/POPULATION!M25*1000000</f>
        <v>172.92270568263734</v>
      </c>
      <c r="N24" s="11">
        <f>'total mil euro'!N24/POPULATION!N25*1000000</f>
        <v>210.14650223646802</v>
      </c>
      <c r="O24" s="11">
        <f>'total mil euro'!O24/POPULATION!O25*1000000</f>
        <v>231.25635889972213</v>
      </c>
      <c r="P24" s="11">
        <f>'total mil euro'!P24/POPULATION!P25*1000000</f>
        <v>230.59559818275466</v>
      </c>
      <c r="Q24" s="11">
        <f>'total mil euro'!Q24/POPULATION!Q25*1000000</f>
        <v>250.24239520415904</v>
      </c>
      <c r="R24" s="11">
        <f>'total mil euro'!R24/POPULATION!R25*1000000</f>
        <v>292.17610099271906</v>
      </c>
      <c r="S24" s="11">
        <f>'total mil euro'!S24/POPULATION!S25*1000000</f>
        <v>323.19336780429308</v>
      </c>
      <c r="T24" s="11">
        <f>'total mil euro'!T24/POPULATION!T25*1000000</f>
        <v>357.55067755364223</v>
      </c>
      <c r="U24" s="11">
        <f>'total mil euro'!U24/POPULATION!U25*1000000</f>
        <v>398.53747349445501</v>
      </c>
      <c r="V24" s="11">
        <f>'total mil euro'!V24/POPULATION!V25*1000000</f>
        <v>434.883308762517</v>
      </c>
      <c r="W24" s="11">
        <f>'total mil euro'!W24/POPULATION!W25*1000000</f>
        <v>466.35858477356282</v>
      </c>
      <c r="X24" s="11">
        <f>'total mil euro'!X24/POPULATION!X25*1000000</f>
        <v>485.95570725023538</v>
      </c>
      <c r="Y24" s="11">
        <f>'total mil euro'!Y24/POPULATION!Y25*1000000</f>
        <v>512.54692074303955</v>
      </c>
      <c r="Z24" s="11">
        <f>'total mil euro'!Z24/POPULATION!Z25*1000000</f>
        <v>493.54468407806803</v>
      </c>
      <c r="AA24" s="11">
        <f>'total mil euro'!AA24/POPULATION!AA25*1000000</f>
        <v>507.0203257892461</v>
      </c>
      <c r="AB24" s="11">
        <f>'total mil euro'!AB24/POPULATION!AB25*1000000</f>
        <v>510.63186956845556</v>
      </c>
      <c r="AC24" s="11">
        <f>'total mil euro'!AC24/POPULATION!AC25*1000000</f>
        <v>462.75183832447379</v>
      </c>
      <c r="AD24" s="11">
        <f>'total mil euro'!AD24/POPULATION!AD25*1000000</f>
        <v>501.19800194065232</v>
      </c>
      <c r="AE24" s="11">
        <f>'total mil euro'!AE24/POPULATION!AE25*1000000</f>
        <v>537.08795230427324</v>
      </c>
    </row>
    <row r="25" spans="1:31" ht="11.35" customHeight="1" x14ac:dyDescent="0.45">
      <c r="A25" s="5" t="s">
        <v>57</v>
      </c>
      <c r="B25" s="11">
        <f>'total mil euro'!B25/POPULATION!B26*1000000</f>
        <v>26.3492278734699</v>
      </c>
      <c r="C25" s="11">
        <f>'total mil euro'!C25/POPULATION!C26*1000000</f>
        <v>34.269082974940332</v>
      </c>
      <c r="D25" s="11">
        <f>'total mil euro'!D25/POPULATION!D26*1000000</f>
        <v>53.352649502663454</v>
      </c>
      <c r="E25" s="11">
        <f>'total mil euro'!E25/POPULATION!E26*1000000</f>
        <v>71.60620740591439</v>
      </c>
      <c r="F25" s="11">
        <f>'total mil euro'!F25/POPULATION!F26*1000000</f>
        <v>85.587013463688081</v>
      </c>
      <c r="G25" s="11">
        <f>'total mil euro'!G25/POPULATION!G26*1000000</f>
        <v>87.062516336500877</v>
      </c>
      <c r="H25" s="11">
        <f>'total mil euro'!H25/POPULATION!H26*1000000</f>
        <v>100.35566409845947</v>
      </c>
      <c r="I25" s="11">
        <f>'total mil euro'!I25/POPULATION!I26*1000000</f>
        <v>123.2922590709241</v>
      </c>
      <c r="J25" s="11">
        <f>'total mil euro'!J25/POPULATION!J26*1000000</f>
        <v>134.58849009630489</v>
      </c>
      <c r="K25" s="11">
        <f>'total mil euro'!K25/POPULATION!K26*1000000</f>
        <v>144.74559486238167</v>
      </c>
      <c r="L25" s="11">
        <f>'total mil euro'!L25/POPULATION!L26*1000000</f>
        <v>143.51368911725609</v>
      </c>
      <c r="M25" s="11">
        <f>'total mil euro'!M25/POPULATION!M26*1000000</f>
        <v>131.74520910623175</v>
      </c>
      <c r="N25" s="11">
        <f>'total mil euro'!N25/POPULATION!N26*1000000</f>
        <v>156.17312459788249</v>
      </c>
      <c r="O25" s="11">
        <f>'total mil euro'!O25/POPULATION!O26*1000000</f>
        <v>166.07083659522414</v>
      </c>
      <c r="P25" s="11">
        <f>'total mil euro'!P25/POPULATION!P26*1000000</f>
        <v>170.47881562482726</v>
      </c>
      <c r="Q25" s="11">
        <f>'total mil euro'!Q25/POPULATION!Q26*1000000</f>
        <v>163.02479713403287</v>
      </c>
      <c r="R25" s="11">
        <f>'total mil euro'!R25/POPULATION!R26*1000000</f>
        <v>172.8631574257646</v>
      </c>
      <c r="S25" s="11">
        <f>'total mil euro'!S25/POPULATION!S26*1000000</f>
        <v>184.5060711316699</v>
      </c>
      <c r="T25" s="11">
        <f>'total mil euro'!T25/POPULATION!T26*1000000</f>
        <v>202.89198312264654</v>
      </c>
      <c r="U25" s="11">
        <f>'total mil euro'!U25/POPULATION!U26*1000000</f>
        <v>223.00569022566185</v>
      </c>
      <c r="V25" s="11">
        <f>'total mil euro'!V25/POPULATION!V26*1000000</f>
        <v>242.21258205644418</v>
      </c>
      <c r="W25" s="11">
        <f>'total mil euro'!W25/POPULATION!W26*1000000</f>
        <v>268.10582913986281</v>
      </c>
      <c r="X25" s="11">
        <f>'total mil euro'!X25/POPULATION!X26*1000000</f>
        <v>289.70888157261936</v>
      </c>
      <c r="Y25" s="11">
        <f>'total mil euro'!Y25/POPULATION!Y26*1000000</f>
        <v>329.55204868728327</v>
      </c>
      <c r="Z25" s="11">
        <f>'total mil euro'!Z25/POPULATION!Z26*1000000</f>
        <v>356.2051063224522</v>
      </c>
      <c r="AA25" s="11">
        <f>'total mil euro'!AA25/POPULATION!AA26*1000000</f>
        <v>374.62228338523772</v>
      </c>
      <c r="AB25" s="11">
        <f>'total mil euro'!AB25/POPULATION!AB26*1000000</f>
        <v>401.13691630131484</v>
      </c>
      <c r="AC25" s="11">
        <f>'total mil euro'!AC25/POPULATION!AC26*1000000</f>
        <v>408.87769699051813</v>
      </c>
      <c r="AD25" s="11">
        <f>'total mil euro'!AD25/POPULATION!AD26*1000000</f>
        <v>434.8437796938976</v>
      </c>
      <c r="AE25" s="11">
        <f>'total mil euro'!AE25/POPULATION!AE26*1000000</f>
        <v>486.69890858663757</v>
      </c>
    </row>
    <row r="26" spans="1:31" ht="11.35" customHeight="1" x14ac:dyDescent="0.45">
      <c r="A26" s="5" t="s">
        <v>58</v>
      </c>
      <c r="B26" s="11">
        <f>'total mil euro'!B26/POPULATION!B27*1000000</f>
        <v>1153.6299765807962</v>
      </c>
      <c r="C26" s="11">
        <f>'total mil euro'!C26/POPULATION!C27*1000000</f>
        <v>1149.0038872691935</v>
      </c>
      <c r="D26" s="11">
        <f>'total mil euro'!D26/POPULATION!D27*1000000</f>
        <v>1159.8896485546359</v>
      </c>
      <c r="E26" s="11">
        <f>'total mil euro'!E26/POPULATION!E27*1000000</f>
        <v>1199.7156734984005</v>
      </c>
      <c r="F26" s="11">
        <f>'total mil euro'!F26/POPULATION!F27*1000000</f>
        <v>1304.0131040131041</v>
      </c>
      <c r="G26" s="11">
        <f>'total mil euro'!G26/POPULATION!G27*1000000</f>
        <v>1407.2647601476017</v>
      </c>
      <c r="H26" s="11">
        <f>'total mil euro'!H26/POPULATION!H27*1000000</f>
        <v>1448.8382687927106</v>
      </c>
      <c r="I26" s="11">
        <f>'total mil euro'!I26/POPULATION!I27*1000000</f>
        <v>1494.5163832901701</v>
      </c>
      <c r="J26" s="11">
        <f>'total mil euro'!J26/POPULATION!J27*1000000</f>
        <v>1601.6506803479813</v>
      </c>
      <c r="K26" s="11">
        <f>'total mil euro'!K26/POPULATION!K27*1000000</f>
        <v>1841.5245296289784</v>
      </c>
      <c r="L26" s="11">
        <f>'total mil euro'!L26/POPULATION!L27*1000000</f>
        <v>1932.8534570604686</v>
      </c>
      <c r="M26" s="11">
        <f>'total mil euro'!M26/POPULATION!M27*1000000</f>
        <v>1899.2039839176609</v>
      </c>
      <c r="N26" s="11">
        <f>'total mil euro'!N26/POPULATION!N27*1000000</f>
        <v>2000.7056051509178</v>
      </c>
      <c r="O26" s="11">
        <f>'total mil euro'!O26/POPULATION!O27*1000000</f>
        <v>2036.4242174952819</v>
      </c>
      <c r="P26" s="11">
        <f>'total mil euro'!P26/POPULATION!P27*1000000</f>
        <v>1885.4508611955421</v>
      </c>
      <c r="Q26" s="11">
        <f>'total mil euro'!Q26/POPULATION!Q27*1000000</f>
        <v>1907.0799456645143</v>
      </c>
      <c r="R26" s="11">
        <f>'total mil euro'!R26/POPULATION!R27*1000000</f>
        <v>1988.2189746795873</v>
      </c>
      <c r="S26" s="11">
        <f>'total mil euro'!S26/POPULATION!S27*1000000</f>
        <v>1978.8588423806284</v>
      </c>
      <c r="T26" s="11">
        <f>'total mil euro'!T26/POPULATION!T27*1000000</f>
        <v>1876.8283122827206</v>
      </c>
      <c r="U26" s="11">
        <f>'total mil euro'!U26/POPULATION!U27*1000000</f>
        <v>1781.9458594091109</v>
      </c>
      <c r="V26" s="11">
        <f>'total mil euro'!V26/POPULATION!V27*1000000</f>
        <v>1695.4017884105031</v>
      </c>
      <c r="W26" s="11">
        <f>'total mil euro'!W26/POPULATION!W27*1000000</f>
        <v>1619.3173437177331</v>
      </c>
      <c r="X26" s="11">
        <f>'total mil euro'!X26/POPULATION!X27*1000000</f>
        <v>1612.7361101940687</v>
      </c>
      <c r="Y26" s="11">
        <f>'total mil euro'!Y26/POPULATION!Y27*1000000</f>
        <v>1688.2251808539797</v>
      </c>
      <c r="Z26" s="11">
        <f>'total mil euro'!Z26/POPULATION!Z27*1000000</f>
        <v>1771.3155691373431</v>
      </c>
      <c r="AA26" s="11">
        <f>'total mil euro'!AA26/POPULATION!AA27*1000000</f>
        <v>1422.1188676713921</v>
      </c>
      <c r="AB26" s="11">
        <f>'total mil euro'!AB26/POPULATION!AB27*1000000</f>
        <v>1665.227734627322</v>
      </c>
      <c r="AC26" s="11">
        <f>'total mil euro'!AC26/POPULATION!AC27*1000000</f>
        <v>1472.349577082013</v>
      </c>
      <c r="AD26" s="11">
        <f>'total mil euro'!AD26/POPULATION!AD27*1000000</f>
        <v>1538.0995113565341</v>
      </c>
      <c r="AE26" s="11">
        <f>'total mil euro'!AE26/POPULATION!AE27*1000000</f>
        <v>1515.244401458225</v>
      </c>
    </row>
    <row r="27" spans="1:31" ht="11.35" customHeight="1" x14ac:dyDescent="0.45">
      <c r="A27" s="5" t="s">
        <v>59</v>
      </c>
      <c r="B27" s="11">
        <f>'total mil euro'!B27/POPULATION!B28*1000000</f>
        <v>87.603393733009568</v>
      </c>
      <c r="C27" s="11">
        <f>'total mil euro'!C27/POPULATION!C28*1000000</f>
        <v>93.856070822573557</v>
      </c>
      <c r="D27" s="11">
        <f>'total mil euro'!D27/POPULATION!D28*1000000</f>
        <v>106.88220562034869</v>
      </c>
      <c r="E27" s="11">
        <f>'total mil euro'!E27/POPULATION!E28*1000000</f>
        <v>136.38206628893928</v>
      </c>
      <c r="F27" s="11">
        <f>'total mil euro'!F27/POPULATION!F28*1000000</f>
        <v>146.35317634630252</v>
      </c>
      <c r="G27" s="11">
        <f>'total mil euro'!G27/POPULATION!G28*1000000</f>
        <v>147.52714925309471</v>
      </c>
      <c r="H27" s="11">
        <f>'total mil euro'!H27/POPULATION!H28*1000000</f>
        <v>159.33750170828344</v>
      </c>
      <c r="I27" s="11">
        <f>'total mil euro'!I27/POPULATION!I28*1000000</f>
        <v>187.18403106167725</v>
      </c>
      <c r="J27" s="11">
        <f>'total mil euro'!J27/POPULATION!J28*1000000</f>
        <v>192.39305400457999</v>
      </c>
      <c r="K27" s="11">
        <f>'total mil euro'!K27/POPULATION!K28*1000000</f>
        <v>231.87010205459424</v>
      </c>
      <c r="L27" s="11">
        <f>'total mil euro'!L27/POPULATION!L28*1000000</f>
        <v>245.33874507566142</v>
      </c>
      <c r="M27" s="11">
        <f>'total mil euro'!M27/POPULATION!M28*1000000</f>
        <v>259.43224194793851</v>
      </c>
      <c r="N27" s="11">
        <f>'total mil euro'!N27/POPULATION!N28*1000000</f>
        <v>281.00393417230288</v>
      </c>
      <c r="O27" s="11">
        <f>'total mil euro'!O27/POPULATION!O28*1000000</f>
        <v>289.4289635625297</v>
      </c>
      <c r="P27" s="11">
        <f>'total mil euro'!P27/POPULATION!P28*1000000</f>
        <v>246.84041182437403</v>
      </c>
      <c r="Q27" s="11">
        <f>'total mil euro'!Q27/POPULATION!Q28*1000000</f>
        <v>262.8145444465348</v>
      </c>
      <c r="R27" s="11">
        <f>'total mil euro'!R27/POPULATION!R28*1000000</f>
        <v>260.37676594641829</v>
      </c>
      <c r="S27" s="11">
        <f>'total mil euro'!S27/POPULATION!S28*1000000</f>
        <v>255.05830944152314</v>
      </c>
      <c r="T27" s="11">
        <f>'total mil euro'!T27/POPULATION!T28*1000000</f>
        <v>251.59950481291528</v>
      </c>
      <c r="U27" s="11">
        <f>'total mil euro'!U27/POPULATION!U28*1000000</f>
        <v>259.67346709214632</v>
      </c>
      <c r="V27" s="11">
        <f>'total mil euro'!V27/POPULATION!V28*1000000</f>
        <v>284.00675722896563</v>
      </c>
      <c r="W27" s="11">
        <f>'total mil euro'!W27/POPULATION!W28*1000000</f>
        <v>301.2929294416611</v>
      </c>
      <c r="X27" s="11">
        <f>'total mil euro'!X27/POPULATION!X28*1000000</f>
        <v>318.54574456277953</v>
      </c>
      <c r="Y27" s="11">
        <f>'total mil euro'!Y27/POPULATION!Y28*1000000</f>
        <v>325.46554309371709</v>
      </c>
      <c r="Z27" s="11">
        <f>'total mil euro'!Z27/POPULATION!Z28*1000000</f>
        <v>347.05212389920615</v>
      </c>
      <c r="AA27" s="11">
        <f>'total mil euro'!AA27/POPULATION!AA28*1000000</f>
        <v>312.8921821178165</v>
      </c>
      <c r="AB27" s="11">
        <f>'total mil euro'!AB27/POPULATION!AB28*1000000</f>
        <v>326.59304119863299</v>
      </c>
      <c r="AC27" s="11">
        <f>'total mil euro'!AC27/POPULATION!AC28*1000000</f>
        <v>329.55745976521484</v>
      </c>
      <c r="AD27" s="11">
        <f>'total mil euro'!AD27/POPULATION!AD28*1000000</f>
        <v>447.84944265180405</v>
      </c>
      <c r="AE27" s="11">
        <f>'total mil euro'!AE27/POPULATION!AE28*1000000</f>
        <v>422.70919880345895</v>
      </c>
    </row>
    <row r="28" spans="1:31" ht="11.35" customHeight="1" x14ac:dyDescent="0.45">
      <c r="A28" s="5" t="s">
        <v>60</v>
      </c>
      <c r="B28" s="11">
        <f>'total mil euro'!B28/POPULATION!B29*1000000</f>
        <v>232.71073471241894</v>
      </c>
      <c r="C28" s="11">
        <f>'total mil euro'!C28/POPULATION!C29*1000000</f>
        <v>233.63917928985953</v>
      </c>
      <c r="D28" s="11">
        <f>'total mil euro'!D28/POPULATION!D29*1000000</f>
        <v>295.90592677075546</v>
      </c>
      <c r="E28" s="11">
        <f>'total mil euro'!E28/POPULATION!E29*1000000</f>
        <v>347.67918870517678</v>
      </c>
      <c r="F28" s="11">
        <f>'total mil euro'!F28/POPULATION!F29*1000000</f>
        <v>384.68207568899339</v>
      </c>
      <c r="G28" s="11">
        <f>'total mil euro'!G28/POPULATION!G29*1000000</f>
        <v>399.70778811551628</v>
      </c>
      <c r="H28" s="11">
        <f>'total mil euro'!H28/POPULATION!H29*1000000</f>
        <v>403.91911398387901</v>
      </c>
      <c r="I28" s="11">
        <f>'total mil euro'!I28/POPULATION!I29*1000000</f>
        <v>382.57555601166627</v>
      </c>
      <c r="J28" s="11">
        <f>'total mil euro'!J28/POPULATION!J29*1000000</f>
        <v>379.66654584994569</v>
      </c>
      <c r="K28" s="11">
        <f>'total mil euro'!K28/POPULATION!K29*1000000</f>
        <v>344.83965918667951</v>
      </c>
      <c r="L28" s="11">
        <f>'total mil euro'!L28/POPULATION!L29*1000000</f>
        <v>391.86128522753233</v>
      </c>
      <c r="M28" s="11">
        <f>'total mil euro'!M28/POPULATION!M29*1000000</f>
        <v>423.80351556423597</v>
      </c>
      <c r="N28" s="11">
        <f>'total mil euro'!N28/POPULATION!N29*1000000</f>
        <v>501.11435446333473</v>
      </c>
      <c r="O28" s="11">
        <f>'total mil euro'!O28/POPULATION!O29*1000000</f>
        <v>490.10376821828595</v>
      </c>
      <c r="P28" s="11">
        <f>'total mil euro'!P28/POPULATION!P29*1000000</f>
        <v>471.95845480694823</v>
      </c>
      <c r="Q28" s="11">
        <f>'total mil euro'!Q28/POPULATION!Q29*1000000</f>
        <v>460.40475621155144</v>
      </c>
      <c r="R28" s="11">
        <f>'total mil euro'!R28/POPULATION!R29*1000000</f>
        <v>509.09783150878695</v>
      </c>
      <c r="S28" s="11">
        <f>'total mil euro'!S28/POPULATION!S29*1000000</f>
        <v>491.92184813170286</v>
      </c>
      <c r="T28" s="11">
        <f>'total mil euro'!T28/POPULATION!T29*1000000</f>
        <v>486.02015830533566</v>
      </c>
      <c r="U28" s="11">
        <f>'total mil euro'!U28/POPULATION!U29*1000000</f>
        <v>562.06149160586335</v>
      </c>
      <c r="V28" s="11">
        <f>'total mil euro'!V28/POPULATION!V29*1000000</f>
        <v>606.94385888948398</v>
      </c>
      <c r="W28" s="11">
        <f>'total mil euro'!W28/POPULATION!W29*1000000</f>
        <v>620.32537502641037</v>
      </c>
      <c r="X28" s="11">
        <f>'total mil euro'!X28/POPULATION!X29*1000000</f>
        <v>660.74557823129248</v>
      </c>
      <c r="Y28" s="11">
        <f>'total mil euro'!Y28/POPULATION!Y29*1000000</f>
        <v>671.2408679188859</v>
      </c>
      <c r="Z28" s="11">
        <f>'total mil euro'!Z28/POPULATION!Z29*1000000</f>
        <v>705.56303857451189</v>
      </c>
      <c r="AA28" s="11">
        <f>'total mil euro'!AA28/POPULATION!AA29*1000000</f>
        <v>572.99628050616195</v>
      </c>
      <c r="AB28" s="11">
        <f>'total mil euro'!AB28/POPULATION!AB29*1000000</f>
        <v>535.87793654637926</v>
      </c>
      <c r="AC28" s="11">
        <f>'total mil euro'!AC28/POPULATION!AC29*1000000</f>
        <v>552.41130852368633</v>
      </c>
      <c r="AD28" s="11">
        <f>'total mil euro'!AD28/POPULATION!AD29*1000000</f>
        <v>574.70607009303546</v>
      </c>
      <c r="AE28" s="11">
        <f>'total mil euro'!AE28/POPULATION!AE29*1000000</f>
        <v>554.62575628768127</v>
      </c>
    </row>
    <row r="29" spans="1:31" ht="11.35" customHeight="1" x14ac:dyDescent="0.45">
      <c r="A29" s="5" t="s">
        <v>61</v>
      </c>
      <c r="B29" s="11">
        <f>'total mil euro'!B29/POPULATION!B30*1000000</f>
        <v>725.08762573325077</v>
      </c>
      <c r="C29" s="11">
        <f>'total mil euro'!C29/POPULATION!C30*1000000</f>
        <v>783.43080939846664</v>
      </c>
      <c r="D29" s="11">
        <f>'total mil euro'!D29/POPULATION!D30*1000000</f>
        <v>788.48818858892662</v>
      </c>
      <c r="E29" s="11">
        <f>'total mil euro'!E29/POPULATION!E30*1000000</f>
        <v>842.61774737399412</v>
      </c>
      <c r="F29" s="11">
        <f>'total mil euro'!F29/POPULATION!F30*1000000</f>
        <v>928.47659218063188</v>
      </c>
      <c r="G29" s="11">
        <f>'total mil euro'!G29/POPULATION!G30*1000000</f>
        <v>986.95469917643459</v>
      </c>
      <c r="H29" s="11">
        <f>'total mil euro'!H29/POPULATION!H30*1000000</f>
        <v>1071.3654624126052</v>
      </c>
      <c r="I29" s="11">
        <f>'total mil euro'!I29/POPULATION!I30*1000000</f>
        <v>1067.1031279483723</v>
      </c>
      <c r="J29" s="11">
        <f>'total mil euro'!J29/POPULATION!J30*1000000</f>
        <v>1113.4735111877224</v>
      </c>
      <c r="K29" s="11">
        <f>'total mil euro'!K29/POPULATION!K30*1000000</f>
        <v>1189.1968228380902</v>
      </c>
      <c r="L29" s="11">
        <f>'total mil euro'!L29/POPULATION!L30*1000000</f>
        <v>1270.9801572791948</v>
      </c>
      <c r="M29" s="11">
        <f>'total mil euro'!M29/POPULATION!M30*1000000</f>
        <v>1366.9470393731926</v>
      </c>
      <c r="N29" s="11">
        <f>'total mil euro'!N29/POPULATION!N30*1000000</f>
        <v>1359.3355468079455</v>
      </c>
      <c r="O29" s="11">
        <f>'total mil euro'!O29/POPULATION!O30*1000000</f>
        <v>1490.5458867535012</v>
      </c>
      <c r="P29" s="11">
        <f>'total mil euro'!P29/POPULATION!P30*1000000</f>
        <v>1450.7041732372254</v>
      </c>
      <c r="Q29" s="11">
        <f>'total mil euro'!Q29/POPULATION!Q30*1000000</f>
        <v>1485.4911819247664</v>
      </c>
      <c r="R29" s="11">
        <f>'total mil euro'!R29/POPULATION!R30*1000000</f>
        <v>1471.7396625643717</v>
      </c>
      <c r="S29" s="11">
        <f>'total mil euro'!S29/POPULATION!S30*1000000</f>
        <v>1405.7687263887158</v>
      </c>
      <c r="T29" s="11">
        <f>'total mil euro'!T29/POPULATION!T30*1000000</f>
        <v>1435.8528151040773</v>
      </c>
      <c r="U29" s="11">
        <f>'total mil euro'!U29/POPULATION!U30*1000000</f>
        <v>1474.7503593289057</v>
      </c>
      <c r="V29" s="11">
        <f>'total mil euro'!V29/POPULATION!V30*1000000</f>
        <v>1512.0652213401956</v>
      </c>
      <c r="W29" s="11">
        <f>'total mil euro'!W29/POPULATION!W30*1000000</f>
        <v>1559.8570479506595</v>
      </c>
      <c r="X29" s="11">
        <f>'total mil euro'!X29/POPULATION!X30*1000000</f>
        <v>1599.0977845221737</v>
      </c>
      <c r="Y29" s="11">
        <f>'total mil euro'!Y29/POPULATION!Y30*1000000</f>
        <v>1662.5260664577393</v>
      </c>
      <c r="Z29" s="11">
        <f>'total mil euro'!Z29/POPULATION!Z30*1000000</f>
        <v>1733.0006666410911</v>
      </c>
      <c r="AA29" s="11">
        <f>'total mil euro'!AA29/POPULATION!AA30*1000000</f>
        <v>1672.7765511413559</v>
      </c>
      <c r="AB29" s="11">
        <f>'total mil euro'!AB29/POPULATION!AB30*1000000</f>
        <v>1751.1458240047518</v>
      </c>
      <c r="AC29" s="11">
        <f>'total mil euro'!AC29/POPULATION!AC30*1000000</f>
        <v>1640.0737845603624</v>
      </c>
      <c r="AD29" s="11">
        <f>'total mil euro'!AD29/POPULATION!AD30*1000000</f>
        <v>1694.5992292192632</v>
      </c>
      <c r="AE29" s="11">
        <f>'total mil euro'!AE29/POPULATION!AE30*1000000</f>
        <v>1862.4036125179473</v>
      </c>
    </row>
    <row r="30" spans="1:31" ht="11.35" customHeight="1" x14ac:dyDescent="0.45">
      <c r="A30" s="5" t="s">
        <v>62</v>
      </c>
      <c r="B30" s="11">
        <f>'total mil euro'!B30/POPULATION!B31*1000000</f>
        <v>500.91464846240746</v>
      </c>
      <c r="C30" s="11">
        <f>'total mil euro'!C30/POPULATION!C31*1000000</f>
        <v>509.97558551939767</v>
      </c>
      <c r="D30" s="11">
        <f>'total mil euro'!D30/POPULATION!D31*1000000</f>
        <v>555.30054993329543</v>
      </c>
      <c r="E30" s="11">
        <f>'total mil euro'!E30/POPULATION!E31*1000000</f>
        <v>563.22477304307199</v>
      </c>
      <c r="F30" s="11">
        <f>'total mil euro'!F30/POPULATION!F31*1000000</f>
        <v>590.20394838133257</v>
      </c>
      <c r="G30" s="11">
        <f>'total mil euro'!G30/POPULATION!G31*1000000</f>
        <v>647.12942188546981</v>
      </c>
      <c r="H30" s="11">
        <f>'total mil euro'!H30/POPULATION!H31*1000000</f>
        <v>708.98869036146118</v>
      </c>
      <c r="I30" s="11">
        <f>'total mil euro'!I30/POPULATION!I31*1000000</f>
        <v>741.65017287478111</v>
      </c>
      <c r="J30" s="11">
        <f>'total mil euro'!J30/POPULATION!J31*1000000</f>
        <v>780.02926568030477</v>
      </c>
      <c r="K30" s="11">
        <f>'total mil euro'!K30/POPULATION!K31*1000000</f>
        <v>793.3352270836258</v>
      </c>
      <c r="L30" s="11">
        <f>'total mil euro'!L30/POPULATION!L31*1000000</f>
        <v>796.88866198882408</v>
      </c>
      <c r="M30" s="11">
        <f>'total mil euro'!M30/POPULATION!M31*1000000</f>
        <v>793.67136975185531</v>
      </c>
      <c r="N30" s="11">
        <f>'total mil euro'!N30/POPULATION!N31*1000000</f>
        <v>837.06548268112067</v>
      </c>
      <c r="O30" s="11">
        <f>'total mil euro'!O30/POPULATION!O31*1000000</f>
        <v>842.07863058075782</v>
      </c>
      <c r="P30" s="11">
        <f>'total mil euro'!P30/POPULATION!P31*1000000</f>
        <v>824.654772169848</v>
      </c>
      <c r="Q30" s="11">
        <f>'total mil euro'!Q30/POPULATION!Q31*1000000</f>
        <v>846.18559485840092</v>
      </c>
      <c r="R30" s="11">
        <f>'total mil euro'!R30/POPULATION!R31*1000000</f>
        <v>922.70670759402446</v>
      </c>
      <c r="S30" s="11">
        <f>'total mil euro'!S30/POPULATION!S31*1000000</f>
        <v>943.27614933229438</v>
      </c>
      <c r="T30" s="11">
        <f>'total mil euro'!T30/POPULATION!T31*1000000</f>
        <v>973.67561696478651</v>
      </c>
      <c r="U30" s="11">
        <f>'total mil euro'!U30/POPULATION!U31*1000000</f>
        <v>1016.2514665977729</v>
      </c>
      <c r="V30" s="11">
        <f>'total mil euro'!V30/POPULATION!V31*1000000</f>
        <v>1052.4482098040216</v>
      </c>
      <c r="W30" s="11">
        <f>'total mil euro'!W30/POPULATION!W31*1000000</f>
        <v>1081.6943128711077</v>
      </c>
      <c r="X30" s="11">
        <f>'total mil euro'!X30/POPULATION!X31*1000000</f>
        <v>1105.6194299125771</v>
      </c>
      <c r="Y30" s="11">
        <f>'total mil euro'!Y30/POPULATION!Y31*1000000</f>
        <v>1084.8436121917418</v>
      </c>
      <c r="Z30" s="11">
        <f>'total mil euro'!Z30/POPULATION!Z31*1000000</f>
        <v>1093.1353375607803</v>
      </c>
      <c r="AA30" s="11">
        <f>'total mil euro'!AA30/POPULATION!AA31*1000000</f>
        <v>990.0400671200656</v>
      </c>
      <c r="AB30" s="11">
        <f>'total mil euro'!AB30/POPULATION!AB31*1000000</f>
        <v>1094.5984311063307</v>
      </c>
      <c r="AC30" s="11">
        <f>'total mil euro'!AC30/POPULATION!AC31*1000000</f>
        <v>948.99291441106175</v>
      </c>
      <c r="AD30" s="11">
        <f>'total mil euro'!AD30/POPULATION!AD31*1000000</f>
        <v>1047.0641109958601</v>
      </c>
      <c r="AE30" s="11">
        <f>'total mil euro'!AE30/POPULATION!AE31*1000000</f>
        <v>1045.2277876347755</v>
      </c>
    </row>
    <row r="31" spans="1:31" ht="11.35" customHeight="1" x14ac:dyDescent="0.45">
      <c r="A31" s="5" t="s">
        <v>63</v>
      </c>
      <c r="B31" s="11">
        <f>'total mil euro'!B31/POPULATION!B32*1000000</f>
        <v>50.212545959306951</v>
      </c>
      <c r="C31" s="11">
        <f>'total mil euro'!C31/POPULATION!C32*1000000</f>
        <v>60.961321879162114</v>
      </c>
      <c r="D31" s="11">
        <f>'total mil euro'!D31/POPULATION!D32*1000000</f>
        <v>64.41000119541377</v>
      </c>
      <c r="E31" s="11">
        <f>'total mil euro'!E31/POPULATION!E32*1000000</f>
        <v>75.390366870090645</v>
      </c>
      <c r="F31" s="11">
        <f>'total mil euro'!F31/POPULATION!F32*1000000</f>
        <v>86.730324938979592</v>
      </c>
      <c r="G31" s="11">
        <f>'total mil euro'!G31/POPULATION!G32*1000000</f>
        <v>104.40970033350231</v>
      </c>
      <c r="H31" s="11">
        <f>'total mil euro'!H31/POPULATION!H32*1000000</f>
        <v>120.15175947166769</v>
      </c>
      <c r="I31" s="11">
        <f>'total mil euro'!I31/POPULATION!I32*1000000</f>
        <v>135.21294291747935</v>
      </c>
      <c r="J31" s="11">
        <f>'total mil euro'!J31/POPULATION!J32*1000000</f>
        <v>126.05089400217921</v>
      </c>
      <c r="K31" s="11">
        <f>'total mil euro'!K31/POPULATION!K32*1000000</f>
        <v>147.52894219437408</v>
      </c>
      <c r="L31" s="11">
        <f>'total mil euro'!L31/POPULATION!L32*1000000</f>
        <v>173.04444261363838</v>
      </c>
      <c r="M31" s="11">
        <f>'total mil euro'!M31/POPULATION!M32*1000000</f>
        <v>191.57636772544421</v>
      </c>
      <c r="N31" s="11">
        <f>'total mil euro'!N31/POPULATION!N32*1000000</f>
        <v>225.95335785813998</v>
      </c>
      <c r="O31" s="11">
        <f>'total mil euro'!O31/POPULATION!O32*1000000</f>
        <v>268.02199128698896</v>
      </c>
      <c r="P31" s="11">
        <f>'total mil euro'!P31/POPULATION!P32*1000000</f>
        <v>221.53837504611144</v>
      </c>
      <c r="Q31" s="11">
        <f>'total mil euro'!Q31/POPULATION!Q32*1000000</f>
        <v>258.55571287900455</v>
      </c>
      <c r="R31" s="11">
        <f>'total mil euro'!R31/POPULATION!R32*1000000</f>
        <v>262.78154912636558</v>
      </c>
      <c r="S31" s="11">
        <f>'total mil euro'!S31/POPULATION!S32*1000000</f>
        <v>264.17336454549769</v>
      </c>
      <c r="T31" s="11">
        <f>'total mil euro'!T31/POPULATION!T32*1000000</f>
        <v>249.67543543802324</v>
      </c>
      <c r="U31" s="11">
        <f>'total mil euro'!U31/POPULATION!U32*1000000</f>
        <v>277.81945410072575</v>
      </c>
      <c r="V31" s="11">
        <f>'total mil euro'!V31/POPULATION!V32*1000000</f>
        <v>300.00146820414477</v>
      </c>
      <c r="W31" s="11">
        <f>'total mil euro'!W31/POPULATION!W32*1000000</f>
        <v>304.38529205557353</v>
      </c>
      <c r="X31" s="11">
        <f>'total mil euro'!X31/POPULATION!X32*1000000</f>
        <v>329.5002202093047</v>
      </c>
      <c r="Y31" s="11">
        <f>'total mil euro'!Y31/POPULATION!Y32*1000000</f>
        <v>354.80609459166357</v>
      </c>
      <c r="Z31" s="11">
        <f>'total mil euro'!Z31/POPULATION!Z32*1000000</f>
        <v>356.71495700660773</v>
      </c>
      <c r="AA31" s="11">
        <f>'total mil euro'!AA31/POPULATION!AA32*1000000</f>
        <v>353.07869948731417</v>
      </c>
      <c r="AB31" s="11">
        <f>'total mil euro'!AB31/POPULATION!AB32*1000000</f>
        <v>452.26710923426765</v>
      </c>
      <c r="AC31" s="11">
        <f>'total mil euro'!AC31/POPULATION!AC32*1000000</f>
        <v>497.93166185056066</v>
      </c>
      <c r="AD31" s="11">
        <f>'total mil euro'!AD31/POPULATION!AD32*1000000</f>
        <v>699.64152759871808</v>
      </c>
      <c r="AE31" s="11">
        <f>'total mil euro'!AE31/POPULATION!AE32*1000000</f>
        <v>692.70803039897635</v>
      </c>
    </row>
    <row r="32" spans="1:31" ht="11.35" customHeight="1" x14ac:dyDescent="0.45">
      <c r="A32" s="5" t="s">
        <v>64</v>
      </c>
      <c r="B32" s="11">
        <f>'total mil euro'!B32/POPULATION!B33*1000000</f>
        <v>304.52531153274379</v>
      </c>
      <c r="C32" s="11">
        <f>'total mil euro'!C32/POPULATION!C33*1000000</f>
        <v>326.42276103023056</v>
      </c>
      <c r="D32" s="11">
        <f>'total mil euro'!D32/POPULATION!D33*1000000</f>
        <v>325.10177311111363</v>
      </c>
      <c r="E32" s="11">
        <f>'total mil euro'!E32/POPULATION!E33*1000000</f>
        <v>365.08075286581737</v>
      </c>
      <c r="F32" s="11">
        <f>'total mil euro'!F32/POPULATION!F33*1000000</f>
        <v>379.97242268643402</v>
      </c>
      <c r="G32" s="11">
        <f>'total mil euro'!G32/POPULATION!G33*1000000</f>
        <v>325.94036777362754</v>
      </c>
      <c r="H32" s="11">
        <f>'total mil euro'!H32/POPULATION!H33*1000000</f>
        <v>371.87823487378586</v>
      </c>
      <c r="I32" s="11">
        <f>'total mil euro'!I32/POPULATION!I33*1000000</f>
        <v>410.22566471332561</v>
      </c>
      <c r="J32" s="11">
        <f>'total mil euro'!J32/POPULATION!J33*1000000</f>
        <v>412.54268237572137</v>
      </c>
      <c r="K32" s="11">
        <f>'total mil euro'!K32/POPULATION!K33*1000000</f>
        <v>428.48453888790755</v>
      </c>
      <c r="L32" s="11">
        <f>'total mil euro'!L32/POPULATION!L33*1000000</f>
        <v>436.80545709289436</v>
      </c>
      <c r="M32" s="11">
        <f>'total mil euro'!M32/POPULATION!M33*1000000</f>
        <v>441.52733051065127</v>
      </c>
      <c r="N32" s="11">
        <f>'total mil euro'!N32/POPULATION!N33*1000000</f>
        <v>457.56940269570975</v>
      </c>
      <c r="O32" s="11">
        <f>'total mil euro'!O32/POPULATION!O33*1000000</f>
        <v>424.87406118575365</v>
      </c>
      <c r="P32" s="11">
        <f>'total mil euro'!P32/POPULATION!P33*1000000</f>
        <v>404.77746219024226</v>
      </c>
      <c r="Q32" s="11">
        <f>'total mil euro'!Q32/POPULATION!Q33*1000000</f>
        <v>412.50282901209715</v>
      </c>
      <c r="R32" s="11">
        <f>'total mil euro'!R32/POPULATION!R33*1000000</f>
        <v>386.27993682988517</v>
      </c>
      <c r="S32" s="11">
        <f>'total mil euro'!S32/POPULATION!S33*1000000</f>
        <v>348.83960999910033</v>
      </c>
      <c r="T32" s="11">
        <f>'total mil euro'!T32/POPULATION!T33*1000000</f>
        <v>355.53307922427592</v>
      </c>
      <c r="U32" s="11">
        <f>'total mil euro'!U32/POPULATION!U33*1000000</f>
        <v>378.88023200102026</v>
      </c>
      <c r="V32" s="11">
        <f>'total mil euro'!V32/POPULATION!V33*1000000</f>
        <v>416.65893066564593</v>
      </c>
      <c r="W32" s="11">
        <f>'total mil euro'!W32/POPULATION!W33*1000000</f>
        <v>466.77289813025038</v>
      </c>
      <c r="X32" s="11">
        <f>'total mil euro'!X32/POPULATION!X33*1000000</f>
        <v>485.69101311830332</v>
      </c>
      <c r="Y32" s="11">
        <f>'total mil euro'!Y32/POPULATION!Y33*1000000</f>
        <v>498.72046301339913</v>
      </c>
      <c r="Z32" s="11">
        <f>'total mil euro'!Z32/POPULATION!Z33*1000000</f>
        <v>526.76461093128592</v>
      </c>
      <c r="AA32" s="11">
        <f>'total mil euro'!AA32/POPULATION!AA33*1000000</f>
        <v>459.11215910334016</v>
      </c>
      <c r="AB32" s="11">
        <f>'total mil euro'!AB32/POPULATION!AB33*1000000</f>
        <v>483.540156683997</v>
      </c>
      <c r="AC32" s="11">
        <f>'total mil euro'!AC32/POPULATION!AC33*1000000</f>
        <v>445.99729568337057</v>
      </c>
      <c r="AD32" s="11">
        <f>'total mil euro'!AD32/POPULATION!AD33*1000000</f>
        <v>512.10650264947276</v>
      </c>
      <c r="AE32" s="11">
        <f>'total mil euro'!AE32/POPULATION!AE33*1000000</f>
        <v>550.32244251402722</v>
      </c>
    </row>
    <row r="33" spans="1:31" ht="11.35" customHeight="1" x14ac:dyDescent="0.45">
      <c r="A33" s="5" t="s">
        <v>65</v>
      </c>
      <c r="B33" s="11">
        <f>'total mil euro'!B33/POPULATION!B34*1000000</f>
        <v>21.981390424981178</v>
      </c>
      <c r="C33" s="11">
        <f>'total mil euro'!C33/POPULATION!C34*1000000</f>
        <v>22.271661838322448</v>
      </c>
      <c r="D33" s="11">
        <f>'total mil euro'!D33/POPULATION!D34*1000000</f>
        <v>38.810794256027251</v>
      </c>
      <c r="E33" s="11">
        <f>'total mil euro'!E33/POPULATION!E34*1000000</f>
        <v>50.159164307809618</v>
      </c>
      <c r="F33" s="11">
        <f>'total mil euro'!F33/POPULATION!F34*1000000</f>
        <v>57.805745534569859</v>
      </c>
      <c r="G33" s="11">
        <f>'total mil euro'!G33/POPULATION!G34*1000000</f>
        <v>61.39836213735753</v>
      </c>
      <c r="H33" s="11">
        <f>'total mil euro'!H33/POPULATION!H34*1000000</f>
        <v>47.512183991614613</v>
      </c>
      <c r="I33" s="11">
        <f>'total mil euro'!I33/POPULATION!I34*1000000</f>
        <v>47.208684019860691</v>
      </c>
      <c r="J33" s="11">
        <f>'total mil euro'!J33/POPULATION!J34*1000000</f>
        <v>56.687526982418547</v>
      </c>
      <c r="K33" s="11">
        <f>'total mil euro'!K33/POPULATION!K34*1000000</f>
        <v>66.69023418924516</v>
      </c>
      <c r="L33" s="11">
        <f>'total mil euro'!L33/POPULATION!L34*1000000</f>
        <v>74.343077474070441</v>
      </c>
      <c r="M33" s="11">
        <f>'total mil euro'!M33/POPULATION!M34*1000000</f>
        <v>88.854898542674093</v>
      </c>
      <c r="N33" s="11">
        <f>'total mil euro'!N33/POPULATION!N34*1000000</f>
        <v>121.25314764158713</v>
      </c>
      <c r="O33" s="11">
        <f>'total mil euro'!O33/POPULATION!O34*1000000</f>
        <v>120.52941877719226</v>
      </c>
      <c r="P33" s="11">
        <f>'total mil euro'!P33/POPULATION!P34*1000000</f>
        <v>109.81155355427931</v>
      </c>
      <c r="Q33" s="11">
        <f>'total mil euro'!Q33/POPULATION!Q34*1000000</f>
        <v>130.6061296941667</v>
      </c>
      <c r="R33" s="11">
        <f>'total mil euro'!R33/POPULATION!R34*1000000</f>
        <v>127.40890553366866</v>
      </c>
      <c r="S33" s="11">
        <f>'total mil euro'!S33/POPULATION!S34*1000000</f>
        <v>132.73688947788406</v>
      </c>
      <c r="T33" s="11">
        <f>'total mil euro'!T33/POPULATION!T34*1000000</f>
        <v>147.71573771405642</v>
      </c>
      <c r="U33" s="11">
        <f>'total mil euro'!U33/POPULATION!U34*1000000</f>
        <v>179.84228550905934</v>
      </c>
      <c r="V33" s="11">
        <f>'total mil euro'!V33/POPULATION!V34*1000000</f>
        <v>197.26383343229841</v>
      </c>
      <c r="W33" s="11">
        <f>'total mil euro'!W33/POPULATION!W34*1000000</f>
        <v>206.74084294569215</v>
      </c>
      <c r="X33" s="11">
        <f>'total mil euro'!X33/POPULATION!X34*1000000</f>
        <v>185.3084631812066</v>
      </c>
      <c r="Y33" s="11">
        <f>'total mil euro'!Y33/POPULATION!Y34*1000000</f>
        <v>206.48598168447293</v>
      </c>
      <c r="Z33" s="11">
        <f>'total mil euro'!Z33/POPULATION!Z34*1000000</f>
        <v>243.72094240282166</v>
      </c>
      <c r="AA33" s="11">
        <f>'total mil euro'!AA33/POPULATION!AA34*1000000</f>
        <v>217.09582334954641</v>
      </c>
      <c r="AB33" s="11">
        <f>'total mil euro'!AB33/POPULATION!AB34*1000000</f>
        <v>305.57146563667249</v>
      </c>
      <c r="AC33" s="11">
        <f>'total mil euro'!AC33/POPULATION!AC34*1000000</f>
        <v>554.50483949617853</v>
      </c>
      <c r="AD33" s="11">
        <f>'total mil euro'!AD33/POPULATION!AD34*1000000</f>
        <v>436.95724868786664</v>
      </c>
      <c r="AE33" s="11">
        <f>'total mil euro'!AE33/POPULATION!AE34*1000000</f>
        <v>448.54102063104403</v>
      </c>
    </row>
    <row r="34" spans="1:31" ht="11.35" customHeight="1" x14ac:dyDescent="0.45">
      <c r="A34" s="5" t="s">
        <v>66</v>
      </c>
      <c r="B34" s="11">
        <f>'total mil euro'!B34/POPULATION!B35*1000000</f>
        <v>337.65155364952699</v>
      </c>
      <c r="C34" s="11">
        <f>'total mil euro'!C34/POPULATION!C35*1000000</f>
        <v>363.54939490500266</v>
      </c>
      <c r="D34" s="11">
        <f>'total mil euro'!D34/POPULATION!D35*1000000</f>
        <v>403.27852846694168</v>
      </c>
      <c r="E34" s="11">
        <f>'total mil euro'!E34/POPULATION!E35*1000000</f>
        <v>488.26075369170485</v>
      </c>
      <c r="F34" s="11">
        <f>'total mil euro'!F34/POPULATION!F35*1000000</f>
        <v>431.33262634115374</v>
      </c>
      <c r="G34" s="11">
        <f>'total mil euro'!G34/POPULATION!G35*1000000</f>
        <v>308.64970783622726</v>
      </c>
      <c r="H34" s="11">
        <f>'total mil euro'!H34/POPULATION!H35*1000000</f>
        <v>361.77688089105339</v>
      </c>
      <c r="I34" s="11">
        <f>'total mil euro'!I34/POPULATION!I35*1000000</f>
        <v>393.96176378843609</v>
      </c>
      <c r="J34" s="11">
        <f>'total mil euro'!J34/POPULATION!J35*1000000</f>
        <v>422.25366698194961</v>
      </c>
      <c r="K34" s="11">
        <f>'total mil euro'!K34/POPULATION!K35*1000000</f>
        <v>449.29131105326348</v>
      </c>
      <c r="L34" s="11">
        <f>'total mil euro'!L34/POPULATION!L35*1000000</f>
        <v>456.76540230978327</v>
      </c>
      <c r="M34" s="11">
        <f>'total mil euro'!M34/POPULATION!M35*1000000</f>
        <v>462.48349021992072</v>
      </c>
      <c r="N34" s="11">
        <f>'total mil euro'!N34/POPULATION!N35*1000000</f>
        <v>512.49591494530625</v>
      </c>
      <c r="O34" s="11">
        <f>'total mil euro'!O34/POPULATION!O35*1000000</f>
        <v>552.55789150606211</v>
      </c>
      <c r="P34" s="11">
        <f>'total mil euro'!P34/POPULATION!P35*1000000</f>
        <v>639.12334515209398</v>
      </c>
      <c r="Q34" s="11">
        <f>'total mil euro'!Q34/POPULATION!Q35*1000000</f>
        <v>686.99388756878443</v>
      </c>
      <c r="R34" s="11">
        <f>'total mil euro'!R34/POPULATION!R35*1000000</f>
        <v>666.50440520361781</v>
      </c>
      <c r="S34" s="11">
        <f>'total mil euro'!S34/POPULATION!S35*1000000</f>
        <v>698.61483554334336</v>
      </c>
      <c r="T34" s="11">
        <f>'total mil euro'!T34/POPULATION!T35*1000000</f>
        <v>749.71063535878056</v>
      </c>
      <c r="U34" s="11">
        <f>'total mil euro'!U34/POPULATION!U35*1000000</f>
        <v>767.54233813743724</v>
      </c>
      <c r="V34" s="11">
        <f>'total mil euro'!V34/POPULATION!V35*1000000</f>
        <v>821.25713931146549</v>
      </c>
      <c r="W34" s="11">
        <f>'total mil euro'!W34/POPULATION!W35*1000000</f>
        <v>857.90635349105798</v>
      </c>
      <c r="X34" s="11">
        <f>'total mil euro'!X34/POPULATION!X35*1000000</f>
        <v>871.34147669654078</v>
      </c>
      <c r="Y34" s="11">
        <f>'total mil euro'!Y34/POPULATION!Y35*1000000</f>
        <v>866.58151416627959</v>
      </c>
      <c r="Z34" s="11">
        <f>'total mil euro'!Z34/POPULATION!Z35*1000000</f>
        <v>874.49805565647307</v>
      </c>
      <c r="AA34" s="11">
        <f>'total mil euro'!AA34/POPULATION!AA35*1000000</f>
        <v>751.33799426584119</v>
      </c>
      <c r="AB34" s="11">
        <f>'total mil euro'!AB34/POPULATION!AB35*1000000</f>
        <v>803.0670794418337</v>
      </c>
      <c r="AC34" s="11">
        <f>'total mil euro'!AC34/POPULATION!AC35*1000000</f>
        <v>788.74135099991463</v>
      </c>
      <c r="AD34" s="11">
        <f>'total mil euro'!AD34/POPULATION!AD35*1000000</f>
        <v>848.12647498408103</v>
      </c>
      <c r="AE34" s="11">
        <f>'total mil euro'!AE34/POPULATION!AE35*1000000</f>
        <v>898.44906822150631</v>
      </c>
    </row>
    <row r="35" spans="1:31" ht="11.35" customHeight="1" x14ac:dyDescent="0.45">
      <c r="A35" s="5" t="s">
        <v>67</v>
      </c>
      <c r="B35" s="11">
        <f>'total mil euro'!B35/POPULATION!B36*1000000</f>
        <v>69.892743129606458</v>
      </c>
      <c r="C35" s="11">
        <f>'total mil euro'!C35/POPULATION!C36*1000000</f>
        <v>70.3213054161955</v>
      </c>
      <c r="D35" s="11">
        <f>'total mil euro'!D35/POPULATION!D36*1000000</f>
        <v>76.676931405714001</v>
      </c>
      <c r="E35" s="11">
        <f>'total mil euro'!E35/POPULATION!E36*1000000</f>
        <v>75.613672009132003</v>
      </c>
      <c r="F35" s="11">
        <f>'total mil euro'!F35/POPULATION!F36*1000000</f>
        <v>74.710079871961611</v>
      </c>
      <c r="G35" s="11">
        <f>'total mil euro'!G35/POPULATION!G36*1000000</f>
        <v>94.482757470978427</v>
      </c>
      <c r="H35" s="11">
        <f>'total mil euro'!H35/POPULATION!H36*1000000</f>
        <v>89.172587925558631</v>
      </c>
      <c r="I35" s="11">
        <f>'total mil euro'!I35/POPULATION!I36*1000000</f>
        <v>109.30941739383758</v>
      </c>
      <c r="J35" s="11">
        <f>'total mil euro'!J35/POPULATION!J36*1000000</f>
        <v>137.26091760679739</v>
      </c>
      <c r="K35" s="11">
        <f>'total mil euro'!K35/POPULATION!K36*1000000</f>
        <v>162.04397905759163</v>
      </c>
      <c r="L35" s="11">
        <f>'total mil euro'!L35/POPULATION!L36*1000000</f>
        <v>175.94554677968279</v>
      </c>
      <c r="M35" s="11">
        <f>'total mil euro'!M35/POPULATION!M36*1000000</f>
        <v>194.83789844196681</v>
      </c>
      <c r="N35" s="11">
        <f>'total mil euro'!N35/POPULATION!N36*1000000</f>
        <v>223.52871111706662</v>
      </c>
      <c r="O35" s="11">
        <f>'total mil euro'!O35/POPULATION!O36*1000000</f>
        <v>253.6669950357734</v>
      </c>
      <c r="P35" s="11">
        <f>'total mil euro'!P35/POPULATION!P36*1000000</f>
        <v>234.83943318232886</v>
      </c>
      <c r="Q35" s="11">
        <f>'total mil euro'!Q35/POPULATION!Q36*1000000</f>
        <v>263.33803922150639</v>
      </c>
      <c r="R35" s="11">
        <f>'total mil euro'!R35/POPULATION!R36*1000000</f>
        <v>320.25911803289267</v>
      </c>
      <c r="S35" s="11">
        <f>'total mil euro'!S35/POPULATION!S36*1000000</f>
        <v>322.68432561938391</v>
      </c>
      <c r="T35" s="11">
        <f>'total mil euro'!T35/POPULATION!T36*1000000</f>
        <v>346.10178538029982</v>
      </c>
      <c r="U35" s="11">
        <f>'total mil euro'!U35/POPULATION!U36*1000000</f>
        <v>356.78142464044618</v>
      </c>
      <c r="V35" s="11">
        <f>'total mil euro'!V35/POPULATION!V36*1000000</f>
        <v>368.45995341749813</v>
      </c>
      <c r="W35" s="11">
        <f>'total mil euro'!W35/POPULATION!W36*1000000</f>
        <v>372.14452996285462</v>
      </c>
      <c r="X35" s="11">
        <f>'total mil euro'!X35/POPULATION!X36*1000000</f>
        <v>395.37891168965785</v>
      </c>
      <c r="Y35" s="11">
        <f>'total mil euro'!Y35/POPULATION!Y36*1000000</f>
        <v>408.9896970854951</v>
      </c>
      <c r="Z35" s="11">
        <f>'total mil euro'!Z35/POPULATION!Z36*1000000</f>
        <v>433.27478739715707</v>
      </c>
      <c r="AA35" s="11">
        <f>'total mil euro'!AA35/POPULATION!AA36*1000000</f>
        <v>420.36339064686922</v>
      </c>
      <c r="AB35" s="11">
        <f>'total mil euro'!AB35/POPULATION!AB36*1000000</f>
        <v>436.40761415155663</v>
      </c>
      <c r="AC35" s="11">
        <f>'total mil euro'!AC35/POPULATION!AC36*1000000</f>
        <v>428.75501038509492</v>
      </c>
      <c r="AD35" s="11">
        <f>'total mil euro'!AD35/POPULATION!AD36*1000000</f>
        <v>491.4021388183595</v>
      </c>
      <c r="AE35" s="11">
        <f>'total mil euro'!AE35/POPULATION!AE36*1000000</f>
        <v>456.46873266605058</v>
      </c>
    </row>
    <row r="36" spans="1:31" ht="11.35" customHeight="1" x14ac:dyDescent="0.45">
      <c r="A36" s="5" t="s">
        <v>68</v>
      </c>
      <c r="B36" s="11">
        <f>'total mil euro'!B36/POPULATION!B37*1000000</f>
        <v>574.83063509241674</v>
      </c>
      <c r="C36" s="11">
        <f>'total mil euro'!C36/POPULATION!C37*1000000</f>
        <v>616.2707115700241</v>
      </c>
      <c r="D36" s="11">
        <f>'total mil euro'!D36/POPULATION!D37*1000000</f>
        <v>709.39847866072273</v>
      </c>
      <c r="E36" s="11">
        <f>'total mil euro'!E36/POPULATION!E37*1000000</f>
        <v>750.50283165178814</v>
      </c>
      <c r="F36" s="11">
        <f>'total mil euro'!F36/POPULATION!F37*1000000</f>
        <v>815.36601542043786</v>
      </c>
      <c r="G36" s="11">
        <f>'total mil euro'!G36/POPULATION!G37*1000000</f>
        <v>805.01970296842069</v>
      </c>
      <c r="H36" s="11">
        <f>'total mil euro'!H36/POPULATION!H37*1000000</f>
        <v>802.52995735473928</v>
      </c>
      <c r="I36" s="11">
        <f>'total mil euro'!I36/POPULATION!I37*1000000</f>
        <v>849.10184043930769</v>
      </c>
      <c r="J36" s="11">
        <f>'total mil euro'!J36/POPULATION!J37*1000000</f>
        <v>898.33557260969656</v>
      </c>
      <c r="K36" s="11">
        <f>'total mil euro'!K36/POPULATION!K37*1000000</f>
        <v>948.89929214756626</v>
      </c>
      <c r="L36" s="11">
        <f>'total mil euro'!L36/POPULATION!L37*1000000</f>
        <v>933.8100538688094</v>
      </c>
      <c r="M36" s="11">
        <f>'total mil euro'!M36/POPULATION!M37*1000000</f>
        <v>956.50717903637656</v>
      </c>
      <c r="N36" s="11">
        <f>'total mil euro'!N36/POPULATION!N37*1000000</f>
        <v>941.45203057445065</v>
      </c>
      <c r="O36" s="11">
        <f>'total mil euro'!O36/POPULATION!O37*1000000</f>
        <v>948.59261908912458</v>
      </c>
      <c r="P36" s="11">
        <f>'total mil euro'!P36/POPULATION!P37*1000000</f>
        <v>861.00819440986766</v>
      </c>
      <c r="Q36" s="11">
        <f>'total mil euro'!Q36/POPULATION!Q37*1000000</f>
        <v>937.13321699053358</v>
      </c>
      <c r="R36" s="11">
        <f>'total mil euro'!R36/POPULATION!R37*1000000</f>
        <v>1105.989720341802</v>
      </c>
      <c r="S36" s="11">
        <f>'total mil euro'!S36/POPULATION!S37*1000000</f>
        <v>1101.408243658386</v>
      </c>
      <c r="T36" s="11">
        <f>'total mil euro'!T36/POPULATION!T37*1000000</f>
        <v>1096.9886895730237</v>
      </c>
      <c r="U36" s="11">
        <f>'total mil euro'!U36/POPULATION!U37*1000000</f>
        <v>1092.7728767791725</v>
      </c>
      <c r="V36" s="11">
        <f>'total mil euro'!V36/POPULATION!V37*1000000</f>
        <v>1118.106025619212</v>
      </c>
      <c r="W36" s="11">
        <f>'total mil euro'!W36/POPULATION!W37*1000000</f>
        <v>1222.6395893942895</v>
      </c>
      <c r="X36" s="11">
        <f>'total mil euro'!X36/POPULATION!X37*1000000</f>
        <v>1216.1800462522738</v>
      </c>
      <c r="Y36" s="11">
        <f>'total mil euro'!Y36/POPULATION!Y37*1000000</f>
        <v>1242.1256164828328</v>
      </c>
      <c r="Z36" s="11">
        <f>'total mil euro'!Z36/POPULATION!Z37*1000000</f>
        <v>1219.662702551451</v>
      </c>
      <c r="AA36" s="11">
        <f>'total mil euro'!AA36/POPULATION!AA37*1000000</f>
        <v>1174.0555974236295</v>
      </c>
      <c r="AB36" s="11">
        <f>'total mil euro'!AB36/POPULATION!AB37*1000000</f>
        <v>1136.4718557416222</v>
      </c>
      <c r="AC36" s="11">
        <f>'total mil euro'!AC36/POPULATION!AC37*1000000</f>
        <v>1176.769358072225</v>
      </c>
      <c r="AD36" s="11">
        <f>'total mil euro'!AD36/POPULATION!AD37*1000000</f>
        <v>1111.0771625296327</v>
      </c>
      <c r="AE36" s="11">
        <f>'total mil euro'!AE36/POPULATION!AE37*1000000</f>
        <v>1071.7629715708001</v>
      </c>
    </row>
    <row r="37" spans="1:31" ht="11.35" customHeight="1" x14ac:dyDescent="0.45">
      <c r="A37" s="5" t="s">
        <v>69</v>
      </c>
      <c r="B37" s="11">
        <f>'total mil euro'!B37/POPULATION!B38*1000000</f>
        <v>600.28939311946704</v>
      </c>
      <c r="C37" s="11">
        <f>'total mil euro'!C37/POPULATION!C38*1000000</f>
        <v>757.15677834535938</v>
      </c>
      <c r="D37" s="11">
        <f>'total mil euro'!D37/POPULATION!D38*1000000</f>
        <v>742.35861183318582</v>
      </c>
      <c r="E37" s="11">
        <f>'total mil euro'!E37/POPULATION!E38*1000000</f>
        <v>765.24491035729932</v>
      </c>
      <c r="F37" s="11">
        <f>'total mil euro'!F37/POPULATION!F38*1000000</f>
        <v>779.30981050835965</v>
      </c>
      <c r="G37" s="11">
        <f>'total mil euro'!G37/POPULATION!G38*1000000</f>
        <v>836.6903927200882</v>
      </c>
      <c r="H37" s="11">
        <f>'total mil euro'!H37/POPULATION!H38*1000000</f>
        <v>797.20317665887035</v>
      </c>
      <c r="I37" s="11">
        <f>'total mil euro'!I37/POPULATION!I38*1000000</f>
        <v>855.05001162852295</v>
      </c>
      <c r="J37" s="11">
        <f>'total mil euro'!J37/POPULATION!J38*1000000</f>
        <v>908.66934771297565</v>
      </c>
      <c r="K37" s="11">
        <f>'total mil euro'!K37/POPULATION!K38*1000000</f>
        <v>936.36241082838387</v>
      </c>
      <c r="L37" s="11">
        <f>'total mil euro'!L37/POPULATION!L38*1000000</f>
        <v>966.7341072278291</v>
      </c>
      <c r="M37" s="11">
        <f>'total mil euro'!M37/POPULATION!M38*1000000</f>
        <v>990.10560855337326</v>
      </c>
      <c r="N37" s="11">
        <f>'total mil euro'!N37/POPULATION!N38*1000000</f>
        <v>1005.9718495813298</v>
      </c>
      <c r="O37" s="11">
        <f>'total mil euro'!O37/POPULATION!O38*1000000</f>
        <v>1019.8012028191013</v>
      </c>
      <c r="P37" s="11">
        <f>'total mil euro'!P37/POPULATION!P38*1000000</f>
        <v>936.34346249119665</v>
      </c>
      <c r="Q37" s="11">
        <f>'total mil euro'!Q37/POPULATION!Q38*1000000</f>
        <v>1068.1382794104327</v>
      </c>
      <c r="R37" s="11">
        <f>'total mil euro'!R37/POPULATION!R38*1000000</f>
        <v>1068.0691662852064</v>
      </c>
      <c r="S37" s="11">
        <f>'total mil euro'!S37/POPULATION!S38*1000000</f>
        <v>1087.2949127662503</v>
      </c>
      <c r="T37" s="11">
        <f>'total mil euro'!T37/POPULATION!T38*1000000</f>
        <v>1073.4726728313094</v>
      </c>
      <c r="U37" s="11">
        <f>'total mil euro'!U37/POPULATION!U38*1000000</f>
        <v>990.98857174139528</v>
      </c>
      <c r="V37" s="11">
        <f>'total mil euro'!V37/POPULATION!V38*1000000</f>
        <v>1005.1126690266233</v>
      </c>
      <c r="W37" s="11">
        <f>'total mil euro'!W37/POPULATION!W38*1000000</f>
        <v>1051.531024664763</v>
      </c>
      <c r="X37" s="11">
        <f>'total mil euro'!X37/POPULATION!X38*1000000</f>
        <v>1016.3826406659308</v>
      </c>
      <c r="Y37" s="11">
        <f>'total mil euro'!Y37/POPULATION!Y38*1000000</f>
        <v>970.02917519166056</v>
      </c>
      <c r="Z37" s="11">
        <f>'total mil euro'!Z37/POPULATION!Z38*1000000</f>
        <v>955.90744448902933</v>
      </c>
      <c r="AA37" s="11">
        <f>'total mil euro'!AA37/POPULATION!AA38*1000000</f>
        <v>929.35437302936816</v>
      </c>
      <c r="AB37" s="11">
        <f>'total mil euro'!AB37/POPULATION!AB38*1000000</f>
        <v>986.94853552192137</v>
      </c>
      <c r="AC37" s="11">
        <f>'total mil euro'!AC37/POPULATION!AC38*1000000</f>
        <v>1019.0353802589013</v>
      </c>
      <c r="AD37" s="11">
        <f>'total mil euro'!AD37/POPULATION!AD38*1000000</f>
        <v>1031.9614323204667</v>
      </c>
      <c r="AE37" s="11">
        <f>'total mil euro'!AE37/POPULATION!AE38*1000000</f>
        <v>847.12738896180485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85890-1D09-4792-A92C-92D3FAC77BB7}">
  <sheetPr codeName="Sheet7">
    <tabColor theme="6"/>
  </sheetPr>
  <dimension ref="A1:AE37"/>
  <sheetViews>
    <sheetView workbookViewId="0">
      <pane xSplit="1" ySplit="9" topLeftCell="B10" activePane="bottomRight" state="frozen"/>
      <selection pane="topRight"/>
      <selection pane="bottomLeft"/>
      <selection pane="bottomRight" activeCell="B10" sqref="B10"/>
    </sheetView>
  </sheetViews>
  <sheetFormatPr defaultRowHeight="11.35" customHeight="1" x14ac:dyDescent="0.45"/>
  <cols>
    <col min="1" max="1" width="29.86328125" customWidth="1"/>
    <col min="2" max="31" width="9.9296875" customWidth="1"/>
  </cols>
  <sheetData>
    <row r="1" spans="1:31" ht="11.35" customHeight="1" x14ac:dyDescent="0.45">
      <c r="A1" s="2" t="s">
        <v>0</v>
      </c>
    </row>
    <row r="2" spans="1:31" ht="11.35" customHeight="1" x14ac:dyDescent="0.45">
      <c r="A2" s="2" t="s">
        <v>1</v>
      </c>
      <c r="B2" s="1" t="s">
        <v>2</v>
      </c>
    </row>
    <row r="3" spans="1:31" ht="11.35" customHeight="1" x14ac:dyDescent="0.45">
      <c r="A3" s="2" t="s">
        <v>3</v>
      </c>
      <c r="B3" s="2" t="s">
        <v>4</v>
      </c>
    </row>
    <row r="5" spans="1:31" ht="11.35" customHeight="1" x14ac:dyDescent="0.45">
      <c r="A5" s="1" t="s">
        <v>5</v>
      </c>
      <c r="B5" s="2" t="s">
        <v>6</v>
      </c>
    </row>
    <row r="6" spans="1:31" ht="11.35" customHeight="1" x14ac:dyDescent="0.45">
      <c r="A6" s="1" t="s">
        <v>7</v>
      </c>
      <c r="B6" s="2" t="s">
        <v>70</v>
      </c>
    </row>
    <row r="7" spans="1:31" ht="11.35" customHeight="1" x14ac:dyDescent="0.45">
      <c r="A7" s="1" t="s">
        <v>9</v>
      </c>
      <c r="B7" s="12" t="s">
        <v>80</v>
      </c>
    </row>
    <row r="9" spans="1:31" ht="11.35" customHeight="1" x14ac:dyDescent="0.45">
      <c r="A9" s="4" t="s">
        <v>11</v>
      </c>
      <c r="B9" s="3" t="s">
        <v>12</v>
      </c>
      <c r="C9" s="3" t="s">
        <v>13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  <c r="J9" s="3" t="s">
        <v>20</v>
      </c>
      <c r="K9" s="3" t="s">
        <v>21</v>
      </c>
      <c r="L9" s="3" t="s">
        <v>22</v>
      </c>
      <c r="M9" s="3" t="s">
        <v>23</v>
      </c>
      <c r="N9" s="3" t="s">
        <v>24</v>
      </c>
      <c r="O9" s="3" t="s">
        <v>25</v>
      </c>
      <c r="P9" s="3" t="s">
        <v>26</v>
      </c>
      <c r="Q9" s="3" t="s">
        <v>27</v>
      </c>
      <c r="R9" s="3" t="s">
        <v>28</v>
      </c>
      <c r="S9" s="3" t="s">
        <v>29</v>
      </c>
      <c r="T9" s="3" t="s">
        <v>30</v>
      </c>
      <c r="U9" s="3" t="s">
        <v>31</v>
      </c>
      <c r="V9" s="3" t="s">
        <v>32</v>
      </c>
      <c r="W9" s="3" t="s">
        <v>33</v>
      </c>
      <c r="X9" s="3" t="s">
        <v>34</v>
      </c>
      <c r="Y9" s="3" t="s">
        <v>35</v>
      </c>
      <c r="Z9" s="3" t="s">
        <v>36</v>
      </c>
      <c r="AA9" s="3" t="s">
        <v>37</v>
      </c>
      <c r="AB9" s="3" t="s">
        <v>38</v>
      </c>
      <c r="AC9" s="3" t="s">
        <v>39</v>
      </c>
      <c r="AD9" s="3" t="s">
        <v>40</v>
      </c>
      <c r="AE9" s="3" t="s">
        <v>41</v>
      </c>
    </row>
    <row r="10" spans="1:31" ht="11.35" customHeight="1" x14ac:dyDescent="0.45">
      <c r="A10" s="5" t="s">
        <v>42</v>
      </c>
      <c r="B10" s="13">
        <f>'energy tax mil euro'!B10/POPULATION!B11*1000000</f>
        <v>295.92464377828151</v>
      </c>
      <c r="C10" s="13">
        <f>'energy tax mil euro'!C10/POPULATION!C11*1000000</f>
        <v>314.4585639683072</v>
      </c>
      <c r="D10" s="13">
        <f>'energy tax mil euro'!D10/POPULATION!D11*1000000</f>
        <v>320.65128178892297</v>
      </c>
      <c r="E10" s="13">
        <f>'energy tax mil euro'!E10/POPULATION!E11*1000000</f>
        <v>330.37730752880867</v>
      </c>
      <c r="F10" s="13">
        <f>'energy tax mil euro'!F10/POPULATION!F11*1000000</f>
        <v>355.10695021058604</v>
      </c>
      <c r="G10" s="13">
        <f>'energy tax mil euro'!G10/POPULATION!G11*1000000</f>
        <v>363.2673634861913</v>
      </c>
      <c r="H10" s="13">
        <f>'energy tax mil euro'!H10/POPULATION!H11*1000000</f>
        <v>379.73638690861833</v>
      </c>
      <c r="I10" s="13">
        <f>'energy tax mil euro'!I10/POPULATION!I11*1000000</f>
        <v>397.75258368561401</v>
      </c>
      <c r="J10" s="13">
        <f>'energy tax mil euro'!J10/POPULATION!J11*1000000</f>
        <v>417.67989319534229</v>
      </c>
      <c r="K10" s="13">
        <f>'energy tax mil euro'!K10/POPULATION!K11*1000000</f>
        <v>426.75055424627948</v>
      </c>
      <c r="L10" s="13">
        <f>'energy tax mil euro'!L10/POPULATION!L11*1000000</f>
        <v>435.03536165882849</v>
      </c>
      <c r="M10" s="13">
        <f>'energy tax mil euro'!M10/POPULATION!M11*1000000</f>
        <v>446.18213810648399</v>
      </c>
      <c r="N10" s="13">
        <f>'energy tax mil euro'!N10/POPULATION!N11*1000000</f>
        <v>451.8649714564155</v>
      </c>
      <c r="O10" s="13">
        <f>'energy tax mil euro'!O10/POPULATION!O11*1000000</f>
        <v>458.98319638152873</v>
      </c>
      <c r="P10" s="13">
        <f>'energy tax mil euro'!P10/POPULATION!P11*1000000</f>
        <v>469.47337722958571</v>
      </c>
      <c r="Q10" s="13">
        <f>'energy tax mil euro'!Q10/POPULATION!Q11*1000000</f>
        <v>481.45438049222946</v>
      </c>
      <c r="R10" s="13">
        <f>'energy tax mil euro'!R10/POPULATION!R11*1000000</f>
        <v>517.80944321778736</v>
      </c>
      <c r="S10" s="13">
        <f>'energy tax mil euro'!S10/POPULATION!S11*1000000</f>
        <v>531.8358524226461</v>
      </c>
      <c r="T10" s="13">
        <f>'energy tax mil euro'!T10/POPULATION!T11*1000000</f>
        <v>559.81470817003128</v>
      </c>
      <c r="U10" s="13">
        <f>'energy tax mil euro'!U10/POPULATION!U11*1000000</f>
        <v>582.35618352722258</v>
      </c>
      <c r="V10" s="13">
        <f>'energy tax mil euro'!V10/POPULATION!V11*1000000</f>
        <v>591.62352513219139</v>
      </c>
      <c r="W10" s="13">
        <f>'energy tax mil euro'!W10/POPULATION!W11*1000000</f>
        <v>612.87652504395533</v>
      </c>
      <c r="X10" s="13">
        <f>'energy tax mil euro'!X10/POPULATION!X11*1000000</f>
        <v>625.49891284133787</v>
      </c>
      <c r="Y10" s="13">
        <f>'energy tax mil euro'!Y10/POPULATION!Y11*1000000</f>
        <v>634.18602596009043</v>
      </c>
      <c r="Z10" s="13">
        <f>'energy tax mil euro'!Z10/POPULATION!Z11*1000000</f>
        <v>646.94353730294483</v>
      </c>
      <c r="AA10" s="13">
        <f>'energy tax mil euro'!AA10/POPULATION!AA11*1000000</f>
        <v>594.74412394278011</v>
      </c>
      <c r="AB10" s="13">
        <f>'energy tax mil euro'!AB10/POPULATION!AB11*1000000</f>
        <v>633.64625666337997</v>
      </c>
      <c r="AC10" s="13">
        <f>'energy tax mil euro'!AC10/POPULATION!AC11*1000000</f>
        <v>601.91374246380974</v>
      </c>
      <c r="AD10" s="13">
        <f>'energy tax mil euro'!AD10/POPULATION!AD11*1000000</f>
        <v>622.43297814015716</v>
      </c>
      <c r="AE10" s="13">
        <f>'energy tax mil euro'!AE10/POPULATION!AE11*1000000</f>
        <v>655.32176160744757</v>
      </c>
    </row>
    <row r="11" spans="1:31" ht="11.35" customHeight="1" x14ac:dyDescent="0.45">
      <c r="A11" s="5" t="s">
        <v>43</v>
      </c>
      <c r="B11" s="13">
        <f>'energy tax mil euro'!B11/POPULATION!B12*1000000</f>
        <v>326.10491764829914</v>
      </c>
      <c r="C11" s="13">
        <f>'energy tax mil euro'!C11/POPULATION!C12*1000000</f>
        <v>340.14039371009517</v>
      </c>
      <c r="D11" s="13">
        <f>'energy tax mil euro'!D11/POPULATION!D12*1000000</f>
        <v>341.63940899641761</v>
      </c>
      <c r="E11" s="13">
        <f>'energy tax mil euro'!E11/POPULATION!E12*1000000</f>
        <v>348.94504302478816</v>
      </c>
      <c r="F11" s="13">
        <f>'energy tax mil euro'!F11/POPULATION!F12*1000000</f>
        <v>352.33869003281063</v>
      </c>
      <c r="G11" s="13">
        <f>'energy tax mil euro'!G11/POPULATION!G12*1000000</f>
        <v>352.95146001815596</v>
      </c>
      <c r="H11" s="13">
        <f>'energy tax mil euro'!H11/POPULATION!H12*1000000</f>
        <v>353.89783555452408</v>
      </c>
      <c r="I11" s="13">
        <f>'energy tax mil euro'!I11/POPULATION!I12*1000000</f>
        <v>356.32376227299955</v>
      </c>
      <c r="J11" s="13">
        <f>'energy tax mil euro'!J11/POPULATION!J12*1000000</f>
        <v>382.47003334542313</v>
      </c>
      <c r="K11" s="13">
        <f>'energy tax mil euro'!K11/POPULATION!K12*1000000</f>
        <v>428.83988634165541</v>
      </c>
      <c r="L11" s="13">
        <f>'energy tax mil euro'!L11/POPULATION!L12*1000000</f>
        <v>449.76704628784705</v>
      </c>
      <c r="M11" s="13">
        <f>'energy tax mil euro'!M11/POPULATION!M12*1000000</f>
        <v>442.94841534633605</v>
      </c>
      <c r="N11" s="13">
        <f>'energy tax mil euro'!N11/POPULATION!N12*1000000</f>
        <v>466.68091386923606</v>
      </c>
      <c r="O11" s="13">
        <f>'energy tax mil euro'!O11/POPULATION!O12*1000000</f>
        <v>472.04117873047244</v>
      </c>
      <c r="P11" s="13">
        <f>'energy tax mil euro'!P11/POPULATION!P12*1000000</f>
        <v>471.01853608454508</v>
      </c>
      <c r="Q11" s="13">
        <f>'energy tax mil euro'!Q11/POPULATION!Q12*1000000</f>
        <v>519.17429165661508</v>
      </c>
      <c r="R11" s="13">
        <f>'energy tax mil euro'!R11/POPULATION!R12*1000000</f>
        <v>560.75838510457299</v>
      </c>
      <c r="S11" s="13">
        <f>'energy tax mil euro'!S11/POPULATION!S12*1000000</f>
        <v>570.15739323498099</v>
      </c>
      <c r="T11" s="13">
        <f>'energy tax mil euro'!T11/POPULATION!T12*1000000</f>
        <v>581.95503060071792</v>
      </c>
      <c r="U11" s="13">
        <f>'energy tax mil euro'!U11/POPULATION!U12*1000000</f>
        <v>613.47805710483294</v>
      </c>
      <c r="V11" s="13">
        <f>'energy tax mil euro'!V11/POPULATION!V12*1000000</f>
        <v>644.17758257029243</v>
      </c>
      <c r="W11" s="13">
        <f>'energy tax mil euro'!W11/POPULATION!W12*1000000</f>
        <v>715.56151350923165</v>
      </c>
      <c r="X11" s="13">
        <f>'energy tax mil euro'!X11/POPULATION!X12*1000000</f>
        <v>751.77988336047895</v>
      </c>
      <c r="Y11" s="13">
        <f>'energy tax mil euro'!Y11/POPULATION!Y12*1000000</f>
        <v>770.20059237156465</v>
      </c>
      <c r="Z11" s="13">
        <f>'energy tax mil euro'!Z11/POPULATION!Z12*1000000</f>
        <v>780.69793258603124</v>
      </c>
      <c r="AA11" s="13">
        <f>'energy tax mil euro'!AA11/POPULATION!AA12*1000000</f>
        <v>691.94545599716719</v>
      </c>
      <c r="AB11" s="13">
        <f>'energy tax mil euro'!AB11/POPULATION!AB12*1000000</f>
        <v>768.00337038384248</v>
      </c>
      <c r="AC11" s="13">
        <f>'energy tax mil euro'!AC11/POPULATION!AC12*1000000</f>
        <v>748.12205560466202</v>
      </c>
      <c r="AD11" s="13">
        <f>'energy tax mil euro'!AD11/POPULATION!AD12*1000000</f>
        <v>844.90099291514559</v>
      </c>
      <c r="AE11" s="13">
        <f>'energy tax mil euro'!AE11/POPULATION!AE12*1000000</f>
        <v>822.86714096255128</v>
      </c>
    </row>
    <row r="12" spans="1:31" ht="11.35" customHeight="1" x14ac:dyDescent="0.45">
      <c r="A12" s="5" t="s">
        <v>44</v>
      </c>
      <c r="B12" s="13">
        <f>'energy tax mil euro'!B12/POPULATION!B13*1000000</f>
        <v>18.712730281089652</v>
      </c>
      <c r="C12" s="13">
        <f>'energy tax mil euro'!C12/POPULATION!C13*1000000</f>
        <v>8.4296246205148293</v>
      </c>
      <c r="D12" s="13">
        <f>'energy tax mil euro'!D12/POPULATION!D13*1000000</f>
        <v>13.687912243901645</v>
      </c>
      <c r="E12" s="13">
        <f>'energy tax mil euro'!E12/POPULATION!E13*1000000</f>
        <v>36.16838902839482</v>
      </c>
      <c r="F12" s="13">
        <f>'energy tax mil euro'!F12/POPULATION!F13*1000000</f>
        <v>35.684904119146026</v>
      </c>
      <c r="G12" s="13">
        <f>'energy tax mil euro'!G12/POPULATION!G13*1000000</f>
        <v>46.054903040895745</v>
      </c>
      <c r="H12" s="13">
        <f>'energy tax mil euro'!H12/POPULATION!H13*1000000</f>
        <v>45.458182055564848</v>
      </c>
      <c r="I12" s="13">
        <f>'energy tax mil euro'!I12/POPULATION!I13*1000000</f>
        <v>46.494929668571444</v>
      </c>
      <c r="J12" s="13">
        <f>'energy tax mil euro'!J12/POPULATION!J13*1000000</f>
        <v>58.927633903554742</v>
      </c>
      <c r="K12" s="13">
        <f>'energy tax mil euro'!K12/POPULATION!K13*1000000</f>
        <v>71.491218952977917</v>
      </c>
      <c r="L12" s="13">
        <f>'energy tax mil euro'!L12/POPULATION!L13*1000000</f>
        <v>81.779804913083353</v>
      </c>
      <c r="M12" s="13">
        <f>'energy tax mil euro'!M12/POPULATION!M13*1000000</f>
        <v>86.481572334075764</v>
      </c>
      <c r="N12" s="13">
        <f>'energy tax mil euro'!N12/POPULATION!N13*1000000</f>
        <v>121.64264850733683</v>
      </c>
      <c r="O12" s="13">
        <f>'energy tax mil euro'!O12/POPULATION!O13*1000000</f>
        <v>140.98559697111014</v>
      </c>
      <c r="P12" s="13">
        <f>'energy tax mil euro'!P12/POPULATION!P13*1000000</f>
        <v>125.0254616271684</v>
      </c>
      <c r="Q12" s="13">
        <f>'energy tax mil euro'!Q12/POPULATION!Q13*1000000</f>
        <v>124.87324445421748</v>
      </c>
      <c r="R12" s="13">
        <f>'energy tax mil euro'!R12/POPULATION!R13*1000000</f>
        <v>133.35357912978625</v>
      </c>
      <c r="S12" s="13">
        <f>'energy tax mil euro'!S12/POPULATION!S13*1000000</f>
        <v>135.81268977173346</v>
      </c>
      <c r="T12" s="13">
        <f>'energy tax mil euro'!T12/POPULATION!T13*1000000</f>
        <v>146.41885463993614</v>
      </c>
      <c r="U12" s="13">
        <f>'energy tax mil euro'!U12/POPULATION!U13*1000000</f>
        <v>150.14359771676752</v>
      </c>
      <c r="V12" s="13">
        <f>'energy tax mil euro'!V12/POPULATION!V13*1000000</f>
        <v>169.60349602898563</v>
      </c>
      <c r="W12" s="13">
        <f>'energy tax mil euro'!W12/POPULATION!W13*1000000</f>
        <v>182.6493757745441</v>
      </c>
      <c r="X12" s="13">
        <f>'energy tax mil euro'!X12/POPULATION!X13*1000000</f>
        <v>187.05695787645203</v>
      </c>
      <c r="Y12" s="13">
        <f>'energy tax mil euro'!Y12/POPULATION!Y13*1000000</f>
        <v>187.09069055665935</v>
      </c>
      <c r="Z12" s="13">
        <f>'energy tax mil euro'!Z12/POPULATION!Z13*1000000</f>
        <v>244.13067059893518</v>
      </c>
      <c r="AA12" s="13">
        <f>'energy tax mil euro'!AA12/POPULATION!AA13*1000000</f>
        <v>249.96061209189747</v>
      </c>
      <c r="AB12" s="13">
        <f>'energy tax mil euro'!AB12/POPULATION!AB13*1000000</f>
        <v>266.98082719583869</v>
      </c>
      <c r="AC12" s="13">
        <f>'energy tax mil euro'!AC12/POPULATION!AC13*1000000</f>
        <v>595.20547987469001</v>
      </c>
      <c r="AD12" s="13">
        <f>'energy tax mil euro'!AD12/POPULATION!AD13*1000000</f>
        <v>453.61996739927821</v>
      </c>
      <c r="AE12" s="13">
        <f>'energy tax mil euro'!AE12/POPULATION!AE13*1000000</f>
        <v>439.8477010482228</v>
      </c>
    </row>
    <row r="13" spans="1:31" ht="11.35" customHeight="1" x14ac:dyDescent="0.45">
      <c r="A13" s="5" t="s">
        <v>45</v>
      </c>
      <c r="B13" s="13">
        <f>'energy tax mil euro'!B13/POPULATION!B14*1000000</f>
        <v>94.508350348939686</v>
      </c>
      <c r="C13" s="13">
        <f>'energy tax mil euro'!C13/POPULATION!C14*1000000</f>
        <v>102.91489170402615</v>
      </c>
      <c r="D13" s="13">
        <f>'energy tax mil euro'!D13/POPULATION!D14*1000000</f>
        <v>103.69442175421668</v>
      </c>
      <c r="E13" s="13">
        <f>'energy tax mil euro'!E13/POPULATION!E14*1000000</f>
        <v>109.30540215795031</v>
      </c>
      <c r="F13" s="13">
        <f>'energy tax mil euro'!F13/POPULATION!F14*1000000</f>
        <v>120.09285861937967</v>
      </c>
      <c r="G13" s="13">
        <f>'energy tax mil euro'!G13/POPULATION!G14*1000000</f>
        <v>128.44886281489048</v>
      </c>
      <c r="H13" s="13">
        <f>'energy tax mil euro'!H13/POPULATION!H14*1000000</f>
        <v>153.38602996258709</v>
      </c>
      <c r="I13" s="13">
        <f>'energy tax mil euro'!I13/POPULATION!I14*1000000</f>
        <v>172.39570865415402</v>
      </c>
      <c r="J13" s="13">
        <f>'energy tax mil euro'!J13/POPULATION!J14*1000000</f>
        <v>181.64757758262843</v>
      </c>
      <c r="K13" s="13">
        <f>'energy tax mil euro'!K13/POPULATION!K14*1000000</f>
        <v>209.06105500872113</v>
      </c>
      <c r="L13" s="13">
        <f>'energy tax mil euro'!L13/POPULATION!L14*1000000</f>
        <v>244.66177820941664</v>
      </c>
      <c r="M13" s="13">
        <f>'energy tax mil euro'!M13/POPULATION!M14*1000000</f>
        <v>265.33276953848929</v>
      </c>
      <c r="N13" s="13">
        <f>'energy tax mil euro'!N13/POPULATION!N14*1000000</f>
        <v>286.61626861804291</v>
      </c>
      <c r="O13" s="13">
        <f>'energy tax mil euro'!O13/POPULATION!O14*1000000</f>
        <v>325.19121814811382</v>
      </c>
      <c r="P13" s="13">
        <f>'energy tax mil euro'!P13/POPULATION!P14*1000000</f>
        <v>305.21160856695366</v>
      </c>
      <c r="Q13" s="13">
        <f>'energy tax mil euro'!Q13/POPULATION!Q14*1000000</f>
        <v>316.85644395267946</v>
      </c>
      <c r="R13" s="13">
        <f>'energy tax mil euro'!R13/POPULATION!R14*1000000</f>
        <v>340.86694890905466</v>
      </c>
      <c r="S13" s="13">
        <f>'energy tax mil euro'!S13/POPULATION!S14*1000000</f>
        <v>318.79087463691451</v>
      </c>
      <c r="T13" s="13">
        <f>'energy tax mil euro'!T13/POPULATION!T14*1000000</f>
        <v>295.43296604024772</v>
      </c>
      <c r="U13" s="13">
        <f>'energy tax mil euro'!U13/POPULATION!U14*1000000</f>
        <v>295.19085949675332</v>
      </c>
      <c r="V13" s="13">
        <f>'energy tax mil euro'!V13/POPULATION!V14*1000000</f>
        <v>305.32226574083523</v>
      </c>
      <c r="W13" s="13">
        <f>'energy tax mil euro'!W13/POPULATION!W14*1000000</f>
        <v>328.33063747489899</v>
      </c>
      <c r="X13" s="13">
        <f>'energy tax mil euro'!X13/POPULATION!X14*1000000</f>
        <v>342.33969384109002</v>
      </c>
      <c r="Y13" s="13">
        <f>'energy tax mil euro'!Y13/POPULATION!Y14*1000000</f>
        <v>362.0480760938562</v>
      </c>
      <c r="Z13" s="13">
        <f>'energy tax mil euro'!Z13/POPULATION!Z14*1000000</f>
        <v>403.89866476365751</v>
      </c>
      <c r="AA13" s="13">
        <f>'energy tax mil euro'!AA13/POPULATION!AA14*1000000</f>
        <v>362.88780027639956</v>
      </c>
      <c r="AB13" s="13">
        <f>'energy tax mil euro'!AB13/POPULATION!AB14*1000000</f>
        <v>392.56354267946637</v>
      </c>
      <c r="AC13" s="13">
        <f>'energy tax mil euro'!AC13/POPULATION!AC14*1000000</f>
        <v>379.66161841344444</v>
      </c>
      <c r="AD13" s="13">
        <f>'energy tax mil euro'!AD13/POPULATION!AD14*1000000</f>
        <v>449.6889364138392</v>
      </c>
      <c r="AE13" s="13">
        <f>'energy tax mil euro'!AE13/POPULATION!AE14*1000000</f>
        <v>417.76038009073847</v>
      </c>
    </row>
    <row r="14" spans="1:31" ht="11.35" customHeight="1" x14ac:dyDescent="0.45">
      <c r="A14" s="5" t="s">
        <v>46</v>
      </c>
      <c r="B14" s="13">
        <f>'energy tax mil euro'!B14/POPULATION!B15*1000000</f>
        <v>566.15024048462737</v>
      </c>
      <c r="C14" s="13">
        <f>'energy tax mil euro'!C14/POPULATION!C15*1000000</f>
        <v>626.05467463793264</v>
      </c>
      <c r="D14" s="13">
        <f>'energy tax mil euro'!D14/POPULATION!D15*1000000</f>
        <v>627.13063833038143</v>
      </c>
      <c r="E14" s="13">
        <f>'energy tax mil euro'!E14/POPULATION!E15*1000000</f>
        <v>793.81324529827043</v>
      </c>
      <c r="F14" s="13">
        <f>'energy tax mil euro'!F14/POPULATION!F15*1000000</f>
        <v>884.62818925932572</v>
      </c>
      <c r="G14" s="13">
        <f>'energy tax mil euro'!G14/POPULATION!G15*1000000</f>
        <v>910.60071069151718</v>
      </c>
      <c r="H14" s="13">
        <f>'energy tax mil euro'!H14/POPULATION!H15*1000000</f>
        <v>981.94649978351947</v>
      </c>
      <c r="I14" s="13">
        <f>'energy tax mil euro'!I14/POPULATION!I15*1000000</f>
        <v>1011.4142994295831</v>
      </c>
      <c r="J14" s="13">
        <f>'energy tax mil euro'!J14/POPULATION!J15*1000000</f>
        <v>1008.5191678955745</v>
      </c>
      <c r="K14" s="13">
        <f>'energy tax mil euro'!K14/POPULATION!K15*1000000</f>
        <v>1036.40665179597</v>
      </c>
      <c r="L14" s="13">
        <f>'energy tax mil euro'!L14/POPULATION!L15*1000000</f>
        <v>990.5172501411372</v>
      </c>
      <c r="M14" s="13">
        <f>'energy tax mil euro'!M14/POPULATION!M15*1000000</f>
        <v>932.43265402833993</v>
      </c>
      <c r="N14" s="13">
        <f>'energy tax mil euro'!N14/POPULATION!N15*1000000</f>
        <v>1003.1348883182269</v>
      </c>
      <c r="O14" s="13">
        <f>'energy tax mil euro'!O14/POPULATION!O15*1000000</f>
        <v>943.56048285991926</v>
      </c>
      <c r="P14" s="13">
        <f>'energy tax mil euro'!P14/POPULATION!P15*1000000</f>
        <v>972.77649751399406</v>
      </c>
      <c r="Q14" s="13">
        <f>'energy tax mil euro'!Q14/POPULATION!Q15*1000000</f>
        <v>1037.9587976883458</v>
      </c>
      <c r="R14" s="13">
        <f>'energy tax mil euro'!R14/POPULATION!R15*1000000</f>
        <v>1071.6055812401046</v>
      </c>
      <c r="S14" s="13">
        <f>'energy tax mil euro'!S14/POPULATION!S15*1000000</f>
        <v>1088.9656081982382</v>
      </c>
      <c r="T14" s="13">
        <f>'energy tax mil euro'!T14/POPULATION!T15*1000000</f>
        <v>1109.1848325464407</v>
      </c>
      <c r="U14" s="13">
        <f>'energy tax mil euro'!U14/POPULATION!U15*1000000</f>
        <v>1101.2850893911486</v>
      </c>
      <c r="V14" s="13">
        <f>'energy tax mil euro'!V14/POPULATION!V15*1000000</f>
        <v>1064.1648916950764</v>
      </c>
      <c r="W14" s="13">
        <f>'energy tax mil euro'!W14/POPULATION!W15*1000000</f>
        <v>1077.7868364296576</v>
      </c>
      <c r="X14" s="13">
        <f>'energy tax mil euro'!X14/POPULATION!X15*1000000</f>
        <v>1019.5869759247588</v>
      </c>
      <c r="Y14" s="13">
        <f>'energy tax mil euro'!Y14/POPULATION!Y15*1000000</f>
        <v>999.07458499028746</v>
      </c>
      <c r="Z14" s="13">
        <f>'energy tax mil euro'!Z14/POPULATION!Z15*1000000</f>
        <v>914.29830207329178</v>
      </c>
      <c r="AA14" s="13">
        <f>'energy tax mil euro'!AA14/POPULATION!AA15*1000000</f>
        <v>887.16130125852624</v>
      </c>
      <c r="AB14" s="13">
        <f>'energy tax mil euro'!AB14/POPULATION!AB15*1000000</f>
        <v>893.77051032997178</v>
      </c>
      <c r="AC14" s="13">
        <f>'energy tax mil euro'!AC14/POPULATION!AC15*1000000</f>
        <v>843.25146166969171</v>
      </c>
      <c r="AD14" s="13">
        <f>'energy tax mil euro'!AD14/POPULATION!AD15*1000000</f>
        <v>682.92201095833332</v>
      </c>
      <c r="AE14" s="13">
        <f>'energy tax mil euro'!AE14/POPULATION!AE15*1000000</f>
        <v>840.29538105185679</v>
      </c>
    </row>
    <row r="15" spans="1:31" ht="11.35" customHeight="1" x14ac:dyDescent="0.45">
      <c r="A15" s="5" t="s">
        <v>47</v>
      </c>
      <c r="B15" s="13">
        <f>'energy tax mil euro'!B15/POPULATION!B16*1000000</f>
        <v>425.81180842649457</v>
      </c>
      <c r="C15" s="13">
        <f>'energy tax mil euro'!C15/POPULATION!C16*1000000</f>
        <v>429.42573935192036</v>
      </c>
      <c r="D15" s="13">
        <f>'energy tax mil euro'!D15/POPULATION!D16*1000000</f>
        <v>416.66600619552014</v>
      </c>
      <c r="E15" s="13">
        <f>'energy tax mil euro'!E15/POPULATION!E16*1000000</f>
        <v>415.55251234626934</v>
      </c>
      <c r="F15" s="13">
        <f>'energy tax mil euro'!F15/POPULATION!F16*1000000</f>
        <v>479.01550191778688</v>
      </c>
      <c r="G15" s="13">
        <f>'energy tax mil euro'!G15/POPULATION!G16*1000000</f>
        <v>534.94572862211589</v>
      </c>
      <c r="H15" s="13">
        <f>'energy tax mil euro'!H15/POPULATION!H16*1000000</f>
        <v>581.47662872902038</v>
      </c>
      <c r="I15" s="13">
        <f>'energy tax mil euro'!I15/POPULATION!I16*1000000</f>
        <v>601.61103957046055</v>
      </c>
      <c r="J15" s="13">
        <f>'energy tax mil euro'!J15/POPULATION!J16*1000000</f>
        <v>652.90971238484519</v>
      </c>
      <c r="K15" s="13">
        <f>'energy tax mil euro'!K15/POPULATION!K16*1000000</f>
        <v>643.49842135148333</v>
      </c>
      <c r="L15" s="13">
        <f>'energy tax mil euro'!L15/POPULATION!L16*1000000</f>
        <v>632.19955469791591</v>
      </c>
      <c r="M15" s="13">
        <f>'energy tax mil euro'!M15/POPULATION!M16*1000000</f>
        <v>650.10072115412322</v>
      </c>
      <c r="N15" s="13">
        <f>'energy tax mil euro'!N15/POPULATION!N16*1000000</f>
        <v>654.34078245803983</v>
      </c>
      <c r="O15" s="13">
        <f>'energy tax mil euro'!O15/POPULATION!O16*1000000</f>
        <v>672.60344005401157</v>
      </c>
      <c r="P15" s="13">
        <f>'energy tax mil euro'!P15/POPULATION!P16*1000000</f>
        <v>709.50400498249098</v>
      </c>
      <c r="Q15" s="13">
        <f>'energy tax mil euro'!Q15/POPULATION!Q16*1000000</f>
        <v>676.72949415075436</v>
      </c>
      <c r="R15" s="13">
        <f>'energy tax mil euro'!R15/POPULATION!R16*1000000</f>
        <v>782.8768805689557</v>
      </c>
      <c r="S15" s="13">
        <f>'energy tax mil euro'!S15/POPULATION!S16*1000000</f>
        <v>787.07398052233407</v>
      </c>
      <c r="T15" s="13">
        <f>'energy tax mil euro'!T15/POPULATION!T16*1000000</f>
        <v>853.97169674644795</v>
      </c>
      <c r="U15" s="13">
        <f>'energy tax mil euro'!U15/POPULATION!U16*1000000</f>
        <v>894.98911213789142</v>
      </c>
      <c r="V15" s="13">
        <f>'energy tax mil euro'!V15/POPULATION!V16*1000000</f>
        <v>874.4600221063356</v>
      </c>
      <c r="W15" s="13">
        <f>'energy tax mil euro'!W15/POPULATION!W16*1000000</f>
        <v>881.47729929452123</v>
      </c>
      <c r="X15" s="13">
        <f>'energy tax mil euro'!X15/POPULATION!X16*1000000</f>
        <v>911.21538731173996</v>
      </c>
      <c r="Y15" s="13">
        <f>'energy tax mil euro'!Y15/POPULATION!Y16*1000000</f>
        <v>897.54668278474173</v>
      </c>
      <c r="Z15" s="13">
        <f>'energy tax mil euro'!Z15/POPULATION!Z16*1000000</f>
        <v>905.63373565104746</v>
      </c>
      <c r="AA15" s="13">
        <f>'energy tax mil euro'!AA15/POPULATION!AA16*1000000</f>
        <v>877.53861037019965</v>
      </c>
      <c r="AB15" s="13">
        <f>'energy tax mil euro'!AB15/POPULATION!AB16*1000000</f>
        <v>864.83041537198153</v>
      </c>
      <c r="AC15" s="13">
        <f>'energy tax mil euro'!AC15/POPULATION!AC16*1000000</f>
        <v>750.98702353051033</v>
      </c>
      <c r="AD15" s="13">
        <f>'energy tax mil euro'!AD15/POPULATION!AD16*1000000</f>
        <v>719.05772217908498</v>
      </c>
      <c r="AE15" s="13">
        <f>'energy tax mil euro'!AE15/POPULATION!AE16*1000000</f>
        <v>769.85435866269484</v>
      </c>
    </row>
    <row r="16" spans="1:31" ht="11.35" customHeight="1" x14ac:dyDescent="0.45">
      <c r="A16" s="5" t="s">
        <v>48</v>
      </c>
      <c r="B16" s="13">
        <f>'energy tax mil euro'!B16/POPULATION!B17*1000000</f>
        <v>11.1872658529427</v>
      </c>
      <c r="C16" s="13">
        <f>'energy tax mil euro'!C16/POPULATION!C17*1000000</f>
        <v>27.252468439340106</v>
      </c>
      <c r="D16" s="13">
        <f>'energy tax mil euro'!D16/POPULATION!D17*1000000</f>
        <v>37.859282672212437</v>
      </c>
      <c r="E16" s="13">
        <f>'energy tax mil euro'!E16/POPULATION!E17*1000000</f>
        <v>57.247497261452011</v>
      </c>
      <c r="F16" s="13">
        <f>'energy tax mil euro'!F16/POPULATION!F17*1000000</f>
        <v>52.579795930648615</v>
      </c>
      <c r="G16" s="13">
        <f>'energy tax mil euro'!G16/POPULATION!G17*1000000</f>
        <v>54.280107047279216</v>
      </c>
      <c r="H16" s="13">
        <f>'energy tax mil euro'!H16/POPULATION!H17*1000000</f>
        <v>79.980182664139249</v>
      </c>
      <c r="I16" s="13">
        <f>'energy tax mil euro'!I16/POPULATION!I17*1000000</f>
        <v>84.343445294938235</v>
      </c>
      <c r="J16" s="13">
        <f>'energy tax mil euro'!J16/POPULATION!J17*1000000</f>
        <v>97.368363644296437</v>
      </c>
      <c r="K16" s="13">
        <f>'energy tax mil euro'!K16/POPULATION!K17*1000000</f>
        <v>127.18023787740165</v>
      </c>
      <c r="L16" s="13">
        <f>'energy tax mil euro'!L16/POPULATION!L17*1000000</f>
        <v>158.86963240975825</v>
      </c>
      <c r="M16" s="13">
        <f>'energy tax mil euro'!M16/POPULATION!M17*1000000</f>
        <v>179.98815429036796</v>
      </c>
      <c r="N16" s="13">
        <f>'energy tax mil euro'!N16/POPULATION!N17*1000000</f>
        <v>221.89706013761059</v>
      </c>
      <c r="O16" s="13">
        <f>'energy tax mil euro'!O16/POPULATION!O17*1000000</f>
        <v>249.95517169241805</v>
      </c>
      <c r="P16" s="13">
        <f>'energy tax mil euro'!P16/POPULATION!P17*1000000</f>
        <v>287.41371823857935</v>
      </c>
      <c r="Q16" s="13">
        <f>'energy tax mil euro'!Q16/POPULATION!Q17*1000000</f>
        <v>324.64055081790156</v>
      </c>
      <c r="R16" s="13">
        <f>'energy tax mil euro'!R16/POPULATION!R17*1000000</f>
        <v>332.43836770302181</v>
      </c>
      <c r="S16" s="13">
        <f>'energy tax mil euro'!S16/POPULATION!S17*1000000</f>
        <v>380.15660831395911</v>
      </c>
      <c r="T16" s="13">
        <f>'energy tax mil euro'!T16/POPULATION!T17*1000000</f>
        <v>367.9211982662892</v>
      </c>
      <c r="U16" s="13">
        <f>'energy tax mil euro'!U16/POPULATION!U17*1000000</f>
        <v>395.89791605076374</v>
      </c>
      <c r="V16" s="13">
        <f>'energy tax mil euro'!V16/POPULATION!V17*1000000</f>
        <v>424.20923741510563</v>
      </c>
      <c r="W16" s="13">
        <f>'energy tax mil euro'!W16/POPULATION!W17*1000000</f>
        <v>487.65752949973557</v>
      </c>
      <c r="X16" s="13">
        <f>'energy tax mil euro'!X16/POPULATION!X17*1000000</f>
        <v>518.6924944988541</v>
      </c>
      <c r="Y16" s="13">
        <f>'energy tax mil euro'!Y16/POPULATION!Y17*1000000</f>
        <v>528.03621772785607</v>
      </c>
      <c r="Z16" s="13">
        <f>'energy tax mil euro'!Z16/POPULATION!Z17*1000000</f>
        <v>680.92269138449001</v>
      </c>
      <c r="AA16" s="13">
        <f>'energy tax mil euro'!AA16/POPULATION!AA17*1000000</f>
        <v>520.49848906225543</v>
      </c>
      <c r="AB16" s="13">
        <f>'energy tax mil euro'!AB16/POPULATION!AB17*1000000</f>
        <v>569.52727228983781</v>
      </c>
      <c r="AC16" s="13">
        <f>'energy tax mil euro'!AC16/POPULATION!AC17*1000000</f>
        <v>639.6174789532331</v>
      </c>
      <c r="AD16" s="13">
        <f>'energy tax mil euro'!AD16/POPULATION!AD17*1000000</f>
        <v>681.44879067329282</v>
      </c>
      <c r="AE16" s="13">
        <f>'energy tax mil euro'!AE16/POPULATION!AE17*1000000</f>
        <v>708.36488597040636</v>
      </c>
    </row>
    <row r="17" spans="1:31" ht="11.35" customHeight="1" x14ac:dyDescent="0.45">
      <c r="A17" s="5" t="s">
        <v>49</v>
      </c>
      <c r="B17" s="13">
        <f>'energy tax mil euro'!B17/POPULATION!B18*1000000</f>
        <v>246.73832706483208</v>
      </c>
      <c r="C17" s="13">
        <f>'energy tax mil euro'!C17/POPULATION!C18*1000000</f>
        <v>276.6000058010008</v>
      </c>
      <c r="D17" s="13">
        <f>'energy tax mil euro'!D17/POPULATION!D18*1000000</f>
        <v>327.73317318544275</v>
      </c>
      <c r="E17" s="13">
        <f>'energy tax mil euro'!E17/POPULATION!E18*1000000</f>
        <v>354.14115935891891</v>
      </c>
      <c r="F17" s="13">
        <f>'energy tax mil euro'!F17/POPULATION!F18*1000000</f>
        <v>384.3804109639695</v>
      </c>
      <c r="G17" s="13">
        <f>'energy tax mil euro'!G17/POPULATION!G18*1000000</f>
        <v>394.78870648155623</v>
      </c>
      <c r="H17" s="13">
        <f>'energy tax mil euro'!H17/POPULATION!H18*1000000</f>
        <v>374.6024755380098</v>
      </c>
      <c r="I17" s="13">
        <f>'energy tax mil euro'!I17/POPULATION!I18*1000000</f>
        <v>429.2661336686752</v>
      </c>
      <c r="J17" s="13">
        <f>'energy tax mil euro'!J17/POPULATION!J18*1000000</f>
        <v>444.70864294883876</v>
      </c>
      <c r="K17" s="13">
        <f>'energy tax mil euro'!K17/POPULATION!K18*1000000</f>
        <v>517.32367367271706</v>
      </c>
      <c r="L17" s="13">
        <f>'energy tax mil euro'!L17/POPULATION!L18*1000000</f>
        <v>538.05118696238412</v>
      </c>
      <c r="M17" s="13">
        <f>'energy tax mil euro'!M17/POPULATION!M18*1000000</f>
        <v>530.51502843525759</v>
      </c>
      <c r="N17" s="13">
        <f>'energy tax mil euro'!N17/POPULATION!N18*1000000</f>
        <v>518.52737644460353</v>
      </c>
      <c r="O17" s="13">
        <f>'energy tax mil euro'!O17/POPULATION!O18*1000000</f>
        <v>504.69461714558753</v>
      </c>
      <c r="P17" s="13">
        <f>'energy tax mil euro'!P17/POPULATION!P18*1000000</f>
        <v>501.5944451644894</v>
      </c>
      <c r="Q17" s="13">
        <f>'energy tax mil euro'!Q17/POPULATION!Q18*1000000</f>
        <v>553.9817313297408</v>
      </c>
      <c r="R17" s="13">
        <f>'energy tax mil euro'!R17/POPULATION!R18*1000000</f>
        <v>589.89065784035949</v>
      </c>
      <c r="S17" s="13">
        <f>'energy tax mil euro'!S17/POPULATION!S18*1000000</f>
        <v>574.03470299416881</v>
      </c>
      <c r="T17" s="13">
        <f>'energy tax mil euro'!T17/POPULATION!T18*1000000</f>
        <v>590.3406649212468</v>
      </c>
      <c r="U17" s="13">
        <f>'energy tax mil euro'!U17/POPULATION!U18*1000000</f>
        <v>612.39556587834193</v>
      </c>
      <c r="V17" s="13">
        <f>'energy tax mil euro'!V17/POPULATION!V18*1000000</f>
        <v>650.51788011314284</v>
      </c>
      <c r="W17" s="13">
        <f>'energy tax mil euro'!W17/POPULATION!W18*1000000</f>
        <v>663.36442610540291</v>
      </c>
      <c r="X17" s="13">
        <f>'energy tax mil euro'!X17/POPULATION!X18*1000000</f>
        <v>678.86922640788794</v>
      </c>
      <c r="Y17" s="13">
        <f>'energy tax mil euro'!Y17/POPULATION!Y18*1000000</f>
        <v>654.0804447031993</v>
      </c>
      <c r="Z17" s="13">
        <f>'energy tax mil euro'!Z17/POPULATION!Z18*1000000</f>
        <v>615.25276445146881</v>
      </c>
      <c r="AA17" s="13">
        <f>'energy tax mil euro'!AA17/POPULATION!AA18*1000000</f>
        <v>555.83130511111995</v>
      </c>
      <c r="AB17" s="13">
        <f>'energy tax mil euro'!AB17/POPULATION!AB18*1000000</f>
        <v>638.16030849674542</v>
      </c>
      <c r="AC17" s="13">
        <f>'energy tax mil euro'!AC17/POPULATION!AC18*1000000</f>
        <v>513.7015336971607</v>
      </c>
      <c r="AD17" s="13">
        <f>'energy tax mil euro'!AD17/POPULATION!AD18*1000000</f>
        <v>574.8383492415195</v>
      </c>
      <c r="AE17" s="13">
        <f>'energy tax mil euro'!AE17/POPULATION!AE18*1000000</f>
        <v>648.81483033088102</v>
      </c>
    </row>
    <row r="18" spans="1:31" ht="11.35" customHeight="1" x14ac:dyDescent="0.45">
      <c r="A18" s="5" t="s">
        <v>50</v>
      </c>
      <c r="B18" s="13">
        <f>'energy tax mil euro'!B18/POPULATION!B19*1000000</f>
        <v>233.76483595772314</v>
      </c>
      <c r="C18" s="13">
        <f>'energy tax mil euro'!C18/POPULATION!C19*1000000</f>
        <v>253.93895846862375</v>
      </c>
      <c r="D18" s="13">
        <f>'energy tax mil euro'!D18/POPULATION!D19*1000000</f>
        <v>254.09466146630805</v>
      </c>
      <c r="E18" s="13">
        <f>'energy tax mil euro'!E18/POPULATION!E19*1000000</f>
        <v>229.12023940336195</v>
      </c>
      <c r="F18" s="13">
        <f>'energy tax mil euro'!F18/POPULATION!F19*1000000</f>
        <v>216.54542598984276</v>
      </c>
      <c r="G18" s="13">
        <f>'energy tax mil euro'!G18/POPULATION!G19*1000000</f>
        <v>189.37830717414403</v>
      </c>
      <c r="H18" s="13">
        <f>'energy tax mil euro'!H18/POPULATION!H19*1000000</f>
        <v>197.67461927102363</v>
      </c>
      <c r="I18" s="13">
        <f>'energy tax mil euro'!I18/POPULATION!I19*1000000</f>
        <v>205.08300948341309</v>
      </c>
      <c r="J18" s="13">
        <f>'energy tax mil euro'!J18/POPULATION!J19*1000000</f>
        <v>218.21639701093008</v>
      </c>
      <c r="K18" s="13">
        <f>'energy tax mil euro'!K18/POPULATION!K19*1000000</f>
        <v>221.56473881274022</v>
      </c>
      <c r="L18" s="13">
        <f>'energy tax mil euro'!L18/POPULATION!L19*1000000</f>
        <v>228.98998642833232</v>
      </c>
      <c r="M18" s="13">
        <f>'energy tax mil euro'!M18/POPULATION!M19*1000000</f>
        <v>240.16975994655382</v>
      </c>
      <c r="N18" s="13">
        <f>'energy tax mil euro'!N18/POPULATION!N19*1000000</f>
        <v>262.32311538737554</v>
      </c>
      <c r="O18" s="13">
        <f>'energy tax mil euro'!O18/POPULATION!O19*1000000</f>
        <v>275.02190818011172</v>
      </c>
      <c r="P18" s="13">
        <f>'energy tax mil euro'!P18/POPULATION!P19*1000000</f>
        <v>282.02540932666773</v>
      </c>
      <c r="Q18" s="13">
        <f>'energy tax mil euro'!Q18/POPULATION!Q19*1000000</f>
        <v>400.56518002185209</v>
      </c>
      <c r="R18" s="13">
        <f>'energy tax mil euro'!R18/POPULATION!R19*1000000</f>
        <v>412.10450912815082</v>
      </c>
      <c r="S18" s="13">
        <f>'energy tax mil euro'!S18/POPULATION!S19*1000000</f>
        <v>507.73409436249887</v>
      </c>
      <c r="T18" s="13">
        <f>'energy tax mil euro'!T18/POPULATION!T19*1000000</f>
        <v>543.26017672485784</v>
      </c>
      <c r="U18" s="13">
        <f>'energy tax mil euro'!U18/POPULATION!U19*1000000</f>
        <v>547.16716842780261</v>
      </c>
      <c r="V18" s="13">
        <f>'energy tax mil euro'!V18/POPULATION!V19*1000000</f>
        <v>557.4022135800742</v>
      </c>
      <c r="W18" s="13">
        <f>'energy tax mil euro'!W18/POPULATION!W19*1000000</f>
        <v>548.74450591802929</v>
      </c>
      <c r="X18" s="13">
        <f>'energy tax mil euro'!X18/POPULATION!X19*1000000</f>
        <v>590.14560504960673</v>
      </c>
      <c r="Y18" s="13">
        <f>'energy tax mil euro'!Y18/POPULATION!Y19*1000000</f>
        <v>555.80887299321967</v>
      </c>
      <c r="Z18" s="13">
        <f>'energy tax mil euro'!Z18/POPULATION!Z19*1000000</f>
        <v>581.65266647691965</v>
      </c>
      <c r="AA18" s="13">
        <f>'energy tax mil euro'!AA18/POPULATION!AA19*1000000</f>
        <v>510.52565768340639</v>
      </c>
      <c r="AB18" s="13">
        <f>'energy tax mil euro'!AB18/POPULATION!AB19*1000000</f>
        <v>588.61179701959497</v>
      </c>
      <c r="AC18" s="13">
        <f>'energy tax mil euro'!AC18/POPULATION!AC19*1000000</f>
        <v>954.82280146290827</v>
      </c>
      <c r="AD18" s="13">
        <f>'energy tax mil euro'!AD18/POPULATION!AD19*1000000</f>
        <v>725.54275828149332</v>
      </c>
      <c r="AE18" s="13">
        <f>'energy tax mil euro'!AE18/POPULATION!AE19*1000000</f>
        <v>696.52702201013824</v>
      </c>
    </row>
    <row r="19" spans="1:31" ht="11.35" customHeight="1" x14ac:dyDescent="0.45">
      <c r="A19" s="5" t="s">
        <v>51</v>
      </c>
      <c r="B19" s="13">
        <f>'energy tax mil euro'!B19/POPULATION!B20*1000000</f>
        <v>205.34047081960156</v>
      </c>
      <c r="C19" s="13">
        <f>'energy tax mil euro'!C19/POPULATION!C20*1000000</f>
        <v>219.19257490898775</v>
      </c>
      <c r="D19" s="13">
        <f>'energy tax mil euro'!D19/POPULATION!D20*1000000</f>
        <v>218.63746386816408</v>
      </c>
      <c r="E19" s="13">
        <f>'energy tax mil euro'!E19/POPULATION!E20*1000000</f>
        <v>247.14866926357021</v>
      </c>
      <c r="F19" s="13">
        <f>'energy tax mil euro'!F19/POPULATION!F20*1000000</f>
        <v>265.46036817385499</v>
      </c>
      <c r="G19" s="13">
        <f>'energy tax mil euro'!G19/POPULATION!G20*1000000</f>
        <v>270.22364268092491</v>
      </c>
      <c r="H19" s="13">
        <f>'energy tax mil euro'!H19/POPULATION!H20*1000000</f>
        <v>274.63052566982691</v>
      </c>
      <c r="I19" s="13">
        <f>'energy tax mil euro'!I19/POPULATION!I20*1000000</f>
        <v>292.86995448160485</v>
      </c>
      <c r="J19" s="13">
        <f>'energy tax mil euro'!J19/POPULATION!J20*1000000</f>
        <v>304.12760037944111</v>
      </c>
      <c r="K19" s="13">
        <f>'energy tax mil euro'!K19/POPULATION!K20*1000000</f>
        <v>311.48752013369733</v>
      </c>
      <c r="L19" s="13">
        <f>'energy tax mil euro'!L19/POPULATION!L20*1000000</f>
        <v>314.73793464934607</v>
      </c>
      <c r="M19" s="13">
        <f>'energy tax mil euro'!M19/POPULATION!M20*1000000</f>
        <v>319.26855848189496</v>
      </c>
      <c r="N19" s="13">
        <f>'energy tax mil euro'!N19/POPULATION!N20*1000000</f>
        <v>325.58018854042587</v>
      </c>
      <c r="O19" s="13">
        <f>'energy tax mil euro'!O19/POPULATION!O20*1000000</f>
        <v>316.45140693984592</v>
      </c>
      <c r="P19" s="13">
        <f>'energy tax mil euro'!P19/POPULATION!P20*1000000</f>
        <v>304.28679101420994</v>
      </c>
      <c r="Q19" s="13">
        <f>'energy tax mil euro'!Q19/POPULATION!Q20*1000000</f>
        <v>310.26132487716518</v>
      </c>
      <c r="R19" s="13">
        <f>'energy tax mil euro'!R19/POPULATION!R20*1000000</f>
        <v>295.58250088166898</v>
      </c>
      <c r="S19" s="13">
        <f>'energy tax mil euro'!S19/POPULATION!S20*1000000</f>
        <v>283.58618255000255</v>
      </c>
      <c r="T19" s="13">
        <f>'energy tax mil euro'!T19/POPULATION!T20*1000000</f>
        <v>345.17416588440176</v>
      </c>
      <c r="U19" s="13">
        <f>'energy tax mil euro'!U19/POPULATION!U20*1000000</f>
        <v>346.35428137250585</v>
      </c>
      <c r="V19" s="13">
        <f>'energy tax mil euro'!V19/POPULATION!V20*1000000</f>
        <v>374.79223263345261</v>
      </c>
      <c r="W19" s="13">
        <f>'energy tax mil euro'!W19/POPULATION!W20*1000000</f>
        <v>370.68965294383207</v>
      </c>
      <c r="X19" s="13">
        <f>'energy tax mil euro'!X19/POPULATION!X20*1000000</f>
        <v>380.62349000942913</v>
      </c>
      <c r="Y19" s="13">
        <f>'energy tax mil euro'!Y19/POPULATION!Y20*1000000</f>
        <v>391.4025640866227</v>
      </c>
      <c r="Z19" s="13">
        <f>'energy tax mil euro'!Z19/POPULATION!Z20*1000000</f>
        <v>385.47323873459999</v>
      </c>
      <c r="AA19" s="13">
        <f>'energy tax mil euro'!AA19/POPULATION!AA20*1000000</f>
        <v>338.56002096451567</v>
      </c>
      <c r="AB19" s="13">
        <f>'energy tax mil euro'!AB19/POPULATION!AB20*1000000</f>
        <v>365.45798237405205</v>
      </c>
      <c r="AC19" s="13">
        <f>'energy tax mil euro'!AC19/POPULATION!AC20*1000000</f>
        <v>348.77028990956501</v>
      </c>
      <c r="AD19" s="13">
        <f>'energy tax mil euro'!AD19/POPULATION!AD20*1000000</f>
        <v>368.63610112025572</v>
      </c>
      <c r="AE19" s="13">
        <f>'energy tax mil euro'!AE19/POPULATION!AE20*1000000</f>
        <v>414.00917879061149</v>
      </c>
    </row>
    <row r="20" spans="1:31" ht="11.35" customHeight="1" x14ac:dyDescent="0.45">
      <c r="A20" s="5" t="s">
        <v>52</v>
      </c>
      <c r="B20" s="13">
        <f>'energy tax mil euro'!B20/POPULATION!B21*1000000</f>
        <v>401.31828739371241</v>
      </c>
      <c r="C20" s="13">
        <f>'energy tax mil euro'!C20/POPULATION!C21*1000000</f>
        <v>416.57750540104331</v>
      </c>
      <c r="D20" s="13">
        <f>'energy tax mil euro'!D20/POPULATION!D21*1000000</f>
        <v>416.31482608038601</v>
      </c>
      <c r="E20" s="13">
        <f>'energy tax mil euro'!E20/POPULATION!E21*1000000</f>
        <v>433.45858482015251</v>
      </c>
      <c r="F20" s="13">
        <f>'energy tax mil euro'!F20/POPULATION!F21*1000000</f>
        <v>442.24815123068242</v>
      </c>
      <c r="G20" s="13">
        <f>'energy tax mil euro'!G20/POPULATION!G21*1000000</f>
        <v>434.38748771121101</v>
      </c>
      <c r="H20" s="13">
        <f>'energy tax mil euro'!H20/POPULATION!H21*1000000</f>
        <v>413.41887818844799</v>
      </c>
      <c r="I20" s="13">
        <f>'energy tax mil euro'!I20/POPULATION!I21*1000000</f>
        <v>446.51901415270078</v>
      </c>
      <c r="J20" s="13">
        <f>'energy tax mil euro'!J20/POPULATION!J21*1000000</f>
        <v>442.34063549114308</v>
      </c>
      <c r="K20" s="13">
        <f>'energy tax mil euro'!K20/POPULATION!K21*1000000</f>
        <v>459.01382806247091</v>
      </c>
      <c r="L20" s="13">
        <f>'energy tax mil euro'!L20/POPULATION!L21*1000000</f>
        <v>451.26182696441953</v>
      </c>
      <c r="M20" s="13">
        <f>'energy tax mil euro'!M20/POPULATION!M21*1000000</f>
        <v>454.0592397852684</v>
      </c>
      <c r="N20" s="13">
        <f>'energy tax mil euro'!N20/POPULATION!N21*1000000</f>
        <v>446.44466935496098</v>
      </c>
      <c r="O20" s="13">
        <f>'energy tax mil euro'!O20/POPULATION!O21*1000000</f>
        <v>440.21614883189773</v>
      </c>
      <c r="P20" s="13">
        <f>'energy tax mil euro'!P20/POPULATION!P21*1000000</f>
        <v>436.33102391901468</v>
      </c>
      <c r="Q20" s="13">
        <f>'energy tax mil euro'!Q20/POPULATION!Q21*1000000</f>
        <v>457.52433355764907</v>
      </c>
      <c r="R20" s="13">
        <f>'energy tax mil euro'!R20/POPULATION!R21*1000000</f>
        <v>474.12444452392344</v>
      </c>
      <c r="S20" s="13">
        <f>'energy tax mil euro'!S20/POPULATION!S21*1000000</f>
        <v>484.09100034540506</v>
      </c>
      <c r="T20" s="13">
        <f>'energy tax mil euro'!T20/POPULATION!T21*1000000</f>
        <v>512.29909596518917</v>
      </c>
      <c r="U20" s="13">
        <f>'energy tax mil euro'!U20/POPULATION!U21*1000000</f>
        <v>519.02805641207158</v>
      </c>
      <c r="V20" s="13">
        <f>'energy tax mil euro'!V20/POPULATION!V21*1000000</f>
        <v>577.2053279903821</v>
      </c>
      <c r="W20" s="13">
        <f>'energy tax mil euro'!W20/POPULATION!W21*1000000</f>
        <v>618.17218846115304</v>
      </c>
      <c r="X20" s="13">
        <f>'energy tax mil euro'!X20/POPULATION!X21*1000000</f>
        <v>656.52029336527426</v>
      </c>
      <c r="Y20" s="13">
        <f>'energy tax mil euro'!Y20/POPULATION!Y21*1000000</f>
        <v>695.23534549701026</v>
      </c>
      <c r="Z20" s="13">
        <f>'energy tax mil euro'!Z20/POPULATION!Z21*1000000</f>
        <v>698.64275433589989</v>
      </c>
      <c r="AA20" s="13">
        <f>'energy tax mil euro'!AA20/POPULATION!AA21*1000000</f>
        <v>608.97845886537255</v>
      </c>
      <c r="AB20" s="13">
        <f>'energy tax mil euro'!AB20/POPULATION!AB21*1000000</f>
        <v>668.84626883001567</v>
      </c>
      <c r="AC20" s="13">
        <f>'energy tax mil euro'!AC20/POPULATION!AC21*1000000</f>
        <v>653.5010587119549</v>
      </c>
      <c r="AD20" s="13">
        <f>'energy tax mil euro'!AD20/POPULATION!AD21*1000000</f>
        <v>603.37849188623841</v>
      </c>
      <c r="AE20" s="13">
        <f>'energy tax mil euro'!AE20/POPULATION!AE21*1000000</f>
        <v>634.79601649662879</v>
      </c>
    </row>
    <row r="21" spans="1:31" ht="11.35" customHeight="1" x14ac:dyDescent="0.45">
      <c r="A21" s="5" t="s">
        <v>53</v>
      </c>
      <c r="B21" s="13">
        <f>'energy tax mil euro'!B21/POPULATION!B22*1000000</f>
        <v>81.270379036393408</v>
      </c>
      <c r="C21" s="13">
        <f>'energy tax mil euro'!C21/POPULATION!C22*1000000</f>
        <v>86.368822616595295</v>
      </c>
      <c r="D21" s="13">
        <f>'energy tax mil euro'!D21/POPULATION!D22*1000000</f>
        <v>86.509503140064425</v>
      </c>
      <c r="E21" s="13">
        <f>'energy tax mil euro'!E21/POPULATION!E22*1000000</f>
        <v>97.84844511961262</v>
      </c>
      <c r="F21" s="13">
        <f>'energy tax mil euro'!F21/POPULATION!F22*1000000</f>
        <v>100.09585948854324</v>
      </c>
      <c r="G21" s="13">
        <f>'energy tax mil euro'!G21/POPULATION!G22*1000000</f>
        <v>134.80340660354599</v>
      </c>
      <c r="H21" s="13">
        <f>'energy tax mil euro'!H21/POPULATION!H22*1000000</f>
        <v>150.27683064185317</v>
      </c>
      <c r="I21" s="13">
        <f>'energy tax mil euro'!I21/POPULATION!I22*1000000</f>
        <v>176.0216133154523</v>
      </c>
      <c r="J21" s="13">
        <f>'energy tax mil euro'!J21/POPULATION!J22*1000000</f>
        <v>183.5771211116128</v>
      </c>
      <c r="K21" s="13">
        <f>'energy tax mil euro'!K21/POPULATION!K22*1000000</f>
        <v>186.10338560869539</v>
      </c>
      <c r="L21" s="13">
        <f>'energy tax mil euro'!L21/POPULATION!L22*1000000</f>
        <v>190.99896749164495</v>
      </c>
      <c r="M21" s="13">
        <f>'energy tax mil euro'!M21/POPULATION!M22*1000000</f>
        <v>200.97683772727896</v>
      </c>
      <c r="N21" s="13">
        <f>'energy tax mil euro'!N21/POPULATION!N22*1000000</f>
        <v>206.29507619049826</v>
      </c>
      <c r="O21" s="13">
        <f>'energy tax mil euro'!O21/POPULATION!O22*1000000</f>
        <v>198.37118419505529</v>
      </c>
      <c r="P21" s="13">
        <f>'energy tax mil euro'!P21/POPULATION!P22*1000000</f>
        <v>205.52016847201122</v>
      </c>
      <c r="Q21" s="13">
        <f>'energy tax mil euro'!Q21/POPULATION!Q22*1000000</f>
        <v>228.81129633472906</v>
      </c>
      <c r="R21" s="13">
        <f>'energy tax mil euro'!R21/POPULATION!R22*1000000</f>
        <v>190.68700891428315</v>
      </c>
      <c r="S21" s="13">
        <f>'energy tax mil euro'!S21/POPULATION!S22*1000000</f>
        <v>179.67794079678501</v>
      </c>
      <c r="T21" s="13">
        <f>'energy tax mil euro'!T21/POPULATION!T22*1000000</f>
        <v>210.7230490679535</v>
      </c>
      <c r="U21" s="13">
        <f>'energy tax mil euro'!U21/POPULATION!U22*1000000</f>
        <v>238.00559176334019</v>
      </c>
      <c r="V21" s="13">
        <f>'energy tax mil euro'!V21/POPULATION!V22*1000000</f>
        <v>269.37883214559491</v>
      </c>
      <c r="W21" s="13">
        <f>'energy tax mil euro'!W21/POPULATION!W22*1000000</f>
        <v>295.43839859214768</v>
      </c>
      <c r="X21" s="13">
        <f>'energy tax mil euro'!X21/POPULATION!X22*1000000</f>
        <v>310.70894184005027</v>
      </c>
      <c r="Y21" s="13">
        <f>'energy tax mil euro'!Y21/POPULATION!Y22*1000000</f>
        <v>350.52826852526982</v>
      </c>
      <c r="Z21" s="13">
        <f>'energy tax mil euro'!Z21/POPULATION!Z22*1000000</f>
        <v>369.98989083512987</v>
      </c>
      <c r="AA21" s="13">
        <f>'energy tax mil euro'!AA21/POPULATION!AA22*1000000</f>
        <v>321.45836124520815</v>
      </c>
      <c r="AB21" s="13">
        <f>'energy tax mil euro'!AB21/POPULATION!AB22*1000000</f>
        <v>364.37208485121857</v>
      </c>
      <c r="AC21" s="13">
        <f>'energy tax mil euro'!AC21/POPULATION!AC22*1000000</f>
        <v>365.00224606808627</v>
      </c>
      <c r="AD21" s="13">
        <f>'energy tax mil euro'!AD21/POPULATION!AD22*1000000</f>
        <v>422.68366774052987</v>
      </c>
      <c r="AE21" s="13">
        <f>'energy tax mil euro'!AE21/POPULATION!AE22*1000000</f>
        <v>474.45770510208916</v>
      </c>
    </row>
    <row r="22" spans="1:31" ht="11.35" customHeight="1" x14ac:dyDescent="0.45">
      <c r="A22" s="5" t="s">
        <v>54</v>
      </c>
      <c r="B22" s="13">
        <f>'energy tax mil euro'!B22/POPULATION!B23*1000000</f>
        <v>474.35026502518946</v>
      </c>
      <c r="C22" s="13">
        <f>'energy tax mil euro'!C22/POPULATION!C23*1000000</f>
        <v>525.50623593117166</v>
      </c>
      <c r="D22" s="13">
        <f>'energy tax mil euro'!D22/POPULATION!D23*1000000</f>
        <v>551.1567159954177</v>
      </c>
      <c r="E22" s="13">
        <f>'energy tax mil euro'!E22/POPULATION!E23*1000000</f>
        <v>543.30177296197178</v>
      </c>
      <c r="F22" s="13">
        <f>'energy tax mil euro'!F22/POPULATION!F23*1000000</f>
        <v>571.43751802545353</v>
      </c>
      <c r="G22" s="13">
        <f>'energy tax mil euro'!G22/POPULATION!G23*1000000</f>
        <v>535.61336083127958</v>
      </c>
      <c r="H22" s="13">
        <f>'energy tax mil euro'!H22/POPULATION!H23*1000000</f>
        <v>554.76854108443763</v>
      </c>
      <c r="I22" s="13">
        <f>'energy tax mil euro'!I22/POPULATION!I23*1000000</f>
        <v>553.76713776907343</v>
      </c>
      <c r="J22" s="13">
        <f>'energy tax mil euro'!J22/POPULATION!J23*1000000</f>
        <v>580.8551120338484</v>
      </c>
      <c r="K22" s="13">
        <f>'energy tax mil euro'!K22/POPULATION!K23*1000000</f>
        <v>566.89588399914669</v>
      </c>
      <c r="L22" s="13">
        <f>'energy tax mil euro'!L22/POPULATION!L23*1000000</f>
        <v>592.42612478785202</v>
      </c>
      <c r="M22" s="13">
        <f>'energy tax mil euro'!M22/POPULATION!M23*1000000</f>
        <v>609.56616923029526</v>
      </c>
      <c r="N22" s="13">
        <f>'energy tax mil euro'!N22/POPULATION!N23*1000000</f>
        <v>589.99439846284588</v>
      </c>
      <c r="O22" s="13">
        <f>'energy tax mil euro'!O22/POPULATION!O23*1000000</f>
        <v>562.05094460811847</v>
      </c>
      <c r="P22" s="13">
        <f>'energy tax mil euro'!P22/POPULATION!P23*1000000</f>
        <v>641.07405728976926</v>
      </c>
      <c r="Q22" s="13">
        <f>'energy tax mil euro'!Q22/POPULATION!Q23*1000000</f>
        <v>634.87685339109271</v>
      </c>
      <c r="R22" s="13">
        <f>'energy tax mil euro'!R22/POPULATION!R23*1000000</f>
        <v>710.77678561315724</v>
      </c>
      <c r="S22" s="13">
        <f>'energy tax mil euro'!S22/POPULATION!S23*1000000</f>
        <v>787.25321284677852</v>
      </c>
      <c r="T22" s="13">
        <f>'energy tax mil euro'!T22/POPULATION!T23*1000000</f>
        <v>794.99235773780151</v>
      </c>
      <c r="U22" s="13">
        <f>'energy tax mil euro'!U22/POPULATION!U23*1000000</f>
        <v>861.98043854400294</v>
      </c>
      <c r="V22" s="13">
        <f>'energy tax mil euro'!V22/POPULATION!V23*1000000</f>
        <v>814.60477886101512</v>
      </c>
      <c r="W22" s="13">
        <f>'energy tax mil euro'!W22/POPULATION!W23*1000000</f>
        <v>845.26034563824783</v>
      </c>
      <c r="X22" s="13">
        <f>'energy tax mil euro'!X22/POPULATION!X23*1000000</f>
        <v>815.1600185220658</v>
      </c>
      <c r="Y22" s="13">
        <f>'energy tax mil euro'!Y22/POPULATION!Y23*1000000</f>
        <v>814.6282521793562</v>
      </c>
      <c r="Z22" s="13">
        <f>'energy tax mil euro'!Z22/POPULATION!Z23*1000000</f>
        <v>848.17488929884155</v>
      </c>
      <c r="AA22" s="13">
        <f>'energy tax mil euro'!AA22/POPULATION!AA23*1000000</f>
        <v>735.61209606306261</v>
      </c>
      <c r="AB22" s="13">
        <f>'energy tax mil euro'!AB22/POPULATION!AB23*1000000</f>
        <v>759.56915071528965</v>
      </c>
      <c r="AC22" s="13">
        <f>'energy tax mil euro'!AC22/POPULATION!AC23*1000000</f>
        <v>581.31327605174124</v>
      </c>
      <c r="AD22" s="13">
        <f>'energy tax mil euro'!AD22/POPULATION!AD23*1000000</f>
        <v>719.27141085896608</v>
      </c>
      <c r="AE22" s="13">
        <f>'energy tax mil euro'!AE22/POPULATION!AE23*1000000</f>
        <v>813.44750652140033</v>
      </c>
    </row>
    <row r="23" spans="1:31" ht="11.35" customHeight="1" x14ac:dyDescent="0.45">
      <c r="A23" s="5" t="s">
        <v>55</v>
      </c>
      <c r="B23" s="13">
        <f>'energy tax mil euro'!B23/POPULATION!B24*1000000</f>
        <v>57.933154529213716</v>
      </c>
      <c r="C23" s="13">
        <f>'energy tax mil euro'!C23/POPULATION!C24*1000000</f>
        <v>60.411407014427127</v>
      </c>
      <c r="D23" s="13">
        <f>'energy tax mil euro'!D23/POPULATION!D24*1000000</f>
        <v>58.215883526210654</v>
      </c>
      <c r="E23" s="13">
        <f>'energy tax mil euro'!E23/POPULATION!E24*1000000</f>
        <v>66.734299445361842</v>
      </c>
      <c r="F23" s="13">
        <f>'energy tax mil euro'!F23/POPULATION!F24*1000000</f>
        <v>73.733785157176712</v>
      </c>
      <c r="G23" s="13">
        <f>'energy tax mil euro'!G23/POPULATION!G24*1000000</f>
        <v>102.20174743699103</v>
      </c>
      <c r="H23" s="13">
        <f>'energy tax mil euro'!H23/POPULATION!H24*1000000</f>
        <v>148.60604774718334</v>
      </c>
      <c r="I23" s="13">
        <f>'energy tax mil euro'!I23/POPULATION!I24*1000000</f>
        <v>156.02255863956495</v>
      </c>
      <c r="J23" s="13">
        <f>'energy tax mil euro'!J23/POPULATION!J24*1000000</f>
        <v>317.71563077957745</v>
      </c>
      <c r="K23" s="13">
        <f>'energy tax mil euro'!K23/POPULATION!K24*1000000</f>
        <v>365.68344139450789</v>
      </c>
      <c r="L23" s="13">
        <f>'energy tax mil euro'!L23/POPULATION!L24*1000000</f>
        <v>386.71772157251661</v>
      </c>
      <c r="M23" s="13">
        <f>'energy tax mil euro'!M23/POPULATION!M24*1000000</f>
        <v>390.32920123707521</v>
      </c>
      <c r="N23" s="13">
        <f>'energy tax mil euro'!N23/POPULATION!N24*1000000</f>
        <v>395.09655423556171</v>
      </c>
      <c r="O23" s="13">
        <f>'energy tax mil euro'!O23/POPULATION!O24*1000000</f>
        <v>392.61502473809566</v>
      </c>
      <c r="P23" s="13">
        <f>'energy tax mil euro'!P23/POPULATION!P24*1000000</f>
        <v>382.96964601658863</v>
      </c>
      <c r="Q23" s="13">
        <f>'energy tax mil euro'!Q23/POPULATION!Q24*1000000</f>
        <v>429.7189735576336</v>
      </c>
      <c r="R23" s="13">
        <f>'energy tax mil euro'!R23/POPULATION!R24*1000000</f>
        <v>457.27840752794577</v>
      </c>
      <c r="S23" s="13">
        <f>'energy tax mil euro'!S23/POPULATION!S24*1000000</f>
        <v>421.3403309238513</v>
      </c>
      <c r="T23" s="13">
        <f>'energy tax mil euro'!T23/POPULATION!T24*1000000</f>
        <v>441.44200525233697</v>
      </c>
      <c r="U23" s="13">
        <f>'energy tax mil euro'!U23/POPULATION!U24*1000000</f>
        <v>482.88900878106858</v>
      </c>
      <c r="V23" s="13">
        <f>'energy tax mil euro'!V23/POPULATION!V24*1000000</f>
        <v>497.76615097241552</v>
      </c>
      <c r="W23" s="13">
        <f>'energy tax mil euro'!W23/POPULATION!W24*1000000</f>
        <v>505.80945721284979</v>
      </c>
      <c r="X23" s="13">
        <f>'energy tax mil euro'!X23/POPULATION!X24*1000000</f>
        <v>545.36383262940308</v>
      </c>
      <c r="Y23" s="13">
        <f>'energy tax mil euro'!Y23/POPULATION!Y24*1000000</f>
        <v>548.37178651060049</v>
      </c>
      <c r="Z23" s="13">
        <f>'energy tax mil euro'!Z23/POPULATION!Z24*1000000</f>
        <v>517.86464523463417</v>
      </c>
      <c r="AA23" s="13">
        <f>'energy tax mil euro'!AA23/POPULATION!AA24*1000000</f>
        <v>443.91303914213756</v>
      </c>
      <c r="AB23" s="13">
        <f>'energy tax mil euro'!AB23/POPULATION!AB24*1000000</f>
        <v>502.14549096969193</v>
      </c>
      <c r="AC23" s="13">
        <f>'energy tax mil euro'!AC23/POPULATION!AC24*1000000</f>
        <v>482.70313757039423</v>
      </c>
      <c r="AD23" s="13">
        <f>'energy tax mil euro'!AD23/POPULATION!AD24*1000000</f>
        <v>507.54200892650175</v>
      </c>
      <c r="AE23" s="13">
        <f>'energy tax mil euro'!AE23/POPULATION!AE24*1000000</f>
        <v>535.40846367573329</v>
      </c>
    </row>
    <row r="24" spans="1:31" ht="11.35" customHeight="1" x14ac:dyDescent="0.45">
      <c r="A24" s="5" t="s">
        <v>56</v>
      </c>
      <c r="B24" s="13">
        <f>'energy tax mil euro'!B24/POPULATION!B25*1000000</f>
        <v>15.412424317558328</v>
      </c>
      <c r="C24" s="13">
        <f>'energy tax mil euro'!C24/POPULATION!C25*1000000</f>
        <v>27.705665569697242</v>
      </c>
      <c r="D24" s="13">
        <f>'energy tax mil euro'!D24/POPULATION!D25*1000000</f>
        <v>40.369551133128716</v>
      </c>
      <c r="E24" s="13">
        <f>'energy tax mil euro'!E24/POPULATION!E25*1000000</f>
        <v>66.0487138697342</v>
      </c>
      <c r="F24" s="13">
        <f>'energy tax mil euro'!F24/POPULATION!F25*1000000</f>
        <v>58.414136429414555</v>
      </c>
      <c r="G24" s="13">
        <f>'energy tax mil euro'!G24/POPULATION!G25*1000000</f>
        <v>65.692158801535868</v>
      </c>
      <c r="H24" s="13">
        <f>'energy tax mil euro'!H24/POPULATION!H25*1000000</f>
        <v>65.254969014831417</v>
      </c>
      <c r="I24" s="13">
        <f>'energy tax mil euro'!I24/POPULATION!I25*1000000</f>
        <v>75.08543893119905</v>
      </c>
      <c r="J24" s="13">
        <f>'energy tax mil euro'!J24/POPULATION!J25*1000000</f>
        <v>85.766224955314243</v>
      </c>
      <c r="K24" s="13">
        <f>'energy tax mil euro'!K24/POPULATION!K25*1000000</f>
        <v>104.7388118707501</v>
      </c>
      <c r="L24" s="13">
        <f>'energy tax mil euro'!L24/POPULATION!L25*1000000</f>
        <v>129.26474536432022</v>
      </c>
      <c r="M24" s="13">
        <f>'energy tax mil euro'!M24/POPULATION!M25*1000000</f>
        <v>143.50452494171572</v>
      </c>
      <c r="N24" s="13">
        <f>'energy tax mil euro'!N24/POPULATION!N25*1000000</f>
        <v>176.01999239419789</v>
      </c>
      <c r="O24" s="13">
        <f>'energy tax mil euro'!O24/POPULATION!O25*1000000</f>
        <v>200.8705134112902</v>
      </c>
      <c r="P24" s="13">
        <f>'energy tax mil euro'!P24/POPULATION!P25*1000000</f>
        <v>206.46059753083225</v>
      </c>
      <c r="Q24" s="13">
        <f>'energy tax mil euro'!Q24/POPULATION!Q25*1000000</f>
        <v>215.33559946126016</v>
      </c>
      <c r="R24" s="13">
        <f>'energy tax mil euro'!R24/POPULATION!R25*1000000</f>
        <v>240.74944387003791</v>
      </c>
      <c r="S24" s="13">
        <f>'energy tax mil euro'!S24/POPULATION!S25*1000000</f>
        <v>268.12231729747413</v>
      </c>
      <c r="T24" s="13">
        <f>'energy tax mil euro'!T24/POPULATION!T25*1000000</f>
        <v>296.67090781070493</v>
      </c>
      <c r="U24" s="13">
        <f>'energy tax mil euro'!U24/POPULATION!U25*1000000</f>
        <v>336.05833318344338</v>
      </c>
      <c r="V24" s="13">
        <f>'energy tax mil euro'!V24/POPULATION!V25*1000000</f>
        <v>367.44447398313071</v>
      </c>
      <c r="W24" s="13">
        <f>'energy tax mil euro'!W24/POPULATION!W25*1000000</f>
        <v>397.95688783452357</v>
      </c>
      <c r="X24" s="13">
        <f>'energy tax mil euro'!X24/POPULATION!X25*1000000</f>
        <v>414.29843147792229</v>
      </c>
      <c r="Y24" s="13">
        <f>'energy tax mil euro'!Y24/POPULATION!Y25*1000000</f>
        <v>436.45531718448143</v>
      </c>
      <c r="Z24" s="13">
        <f>'energy tax mil euro'!Z24/POPULATION!Z25*1000000</f>
        <v>416.36631443857397</v>
      </c>
      <c r="AA24" s="13">
        <f>'energy tax mil euro'!AA24/POPULATION!AA25*1000000</f>
        <v>425.90063821143542</v>
      </c>
      <c r="AB24" s="13">
        <f>'energy tax mil euro'!AB24/POPULATION!AB25*1000000</f>
        <v>422.11086596771747</v>
      </c>
      <c r="AC24" s="13">
        <f>'energy tax mil euro'!AC24/POPULATION!AC25*1000000</f>
        <v>366.95584769242504</v>
      </c>
      <c r="AD24" s="13">
        <f>'energy tax mil euro'!AD24/POPULATION!AD25*1000000</f>
        <v>400.36639178488832</v>
      </c>
      <c r="AE24" s="13">
        <f>'energy tax mil euro'!AE24/POPULATION!AE25*1000000</f>
        <v>431.51857125746909</v>
      </c>
    </row>
    <row r="25" spans="1:31" ht="11.35" customHeight="1" x14ac:dyDescent="0.45">
      <c r="A25" s="5" t="s">
        <v>57</v>
      </c>
      <c r="B25" s="13">
        <f>'energy tax mil euro'!B25/POPULATION!B26*1000000</f>
        <v>15.487274055851358</v>
      </c>
      <c r="C25" s="13">
        <f>'energy tax mil euro'!C25/POPULATION!C26*1000000</f>
        <v>20.314161382513667</v>
      </c>
      <c r="D25" s="13">
        <f>'energy tax mil euro'!D25/POPULATION!D26*1000000</f>
        <v>31.524411979555261</v>
      </c>
      <c r="E25" s="13">
        <f>'energy tax mil euro'!E25/POPULATION!E26*1000000</f>
        <v>48.657299394962919</v>
      </c>
      <c r="F25" s="13">
        <f>'energy tax mil euro'!F25/POPULATION!F26*1000000</f>
        <v>62.235589233234585</v>
      </c>
      <c r="G25" s="13">
        <f>'energy tax mil euro'!G25/POPULATION!G26*1000000</f>
        <v>61.761227126763274</v>
      </c>
      <c r="H25" s="13">
        <f>'energy tax mil euro'!H25/POPULATION!H26*1000000</f>
        <v>71.666229805695338</v>
      </c>
      <c r="I25" s="13">
        <f>'energy tax mil euro'!I25/POPULATION!I26*1000000</f>
        <v>87.7863578720427</v>
      </c>
      <c r="J25" s="13">
        <f>'energy tax mil euro'!J25/POPULATION!J26*1000000</f>
        <v>95.745384594537029</v>
      </c>
      <c r="K25" s="13">
        <f>'energy tax mil euro'!K25/POPULATION!K26*1000000</f>
        <v>97.945558733353963</v>
      </c>
      <c r="L25" s="13">
        <f>'energy tax mil euro'!L25/POPULATION!L26*1000000</f>
        <v>108.5949654568106</v>
      </c>
      <c r="M25" s="13">
        <f>'energy tax mil euro'!M25/POPULATION!M26*1000000</f>
        <v>119.7233295894779</v>
      </c>
      <c r="N25" s="13">
        <f>'energy tax mil euro'!N25/POPULATION!N26*1000000</f>
        <v>141.33920085120445</v>
      </c>
      <c r="O25" s="13">
        <f>'energy tax mil euro'!O25/POPULATION!O26*1000000</f>
        <v>155.05174149949963</v>
      </c>
      <c r="P25" s="13">
        <f>'energy tax mil euro'!P25/POPULATION!P26*1000000</f>
        <v>161.16620852199344</v>
      </c>
      <c r="Q25" s="13">
        <f>'energy tax mil euro'!Q25/POPULATION!Q26*1000000</f>
        <v>156.6625588483171</v>
      </c>
      <c r="R25" s="13">
        <f>'energy tax mil euro'!R25/POPULATION!R26*1000000</f>
        <v>162.84870411598291</v>
      </c>
      <c r="S25" s="13">
        <f>'energy tax mil euro'!S25/POPULATION!S26*1000000</f>
        <v>173.78574869633223</v>
      </c>
      <c r="T25" s="13">
        <f>'energy tax mil euro'!T25/POPULATION!T26*1000000</f>
        <v>186.23112668873549</v>
      </c>
      <c r="U25" s="13">
        <f>'energy tax mil euro'!U25/POPULATION!U26*1000000</f>
        <v>204.89086666879251</v>
      </c>
      <c r="V25" s="13">
        <f>'energy tax mil euro'!V25/POPULATION!V26*1000000</f>
        <v>218.77959874860076</v>
      </c>
      <c r="W25" s="13">
        <f>'energy tax mil euro'!W25/POPULATION!W26*1000000</f>
        <v>243.70305980888756</v>
      </c>
      <c r="X25" s="13">
        <f>'energy tax mil euro'!X25/POPULATION!X26*1000000</f>
        <v>263.30875313956216</v>
      </c>
      <c r="Y25" s="13">
        <f>'energy tax mil euro'!Y25/POPULATION!Y26*1000000</f>
        <v>297.54794423607672</v>
      </c>
      <c r="Z25" s="13">
        <f>'energy tax mil euro'!Z25/POPULATION!Z26*1000000</f>
        <v>326.14323305597037</v>
      </c>
      <c r="AA25" s="13">
        <f>'energy tax mil euro'!AA25/POPULATION!AA26*1000000</f>
        <v>338.52590252518081</v>
      </c>
      <c r="AB25" s="13">
        <f>'energy tax mil euro'!AB25/POPULATION!AB26*1000000</f>
        <v>358.61462429569787</v>
      </c>
      <c r="AC25" s="13">
        <f>'energy tax mil euro'!AC25/POPULATION!AC26*1000000</f>
        <v>342.02091377114311</v>
      </c>
      <c r="AD25" s="13">
        <f>'energy tax mil euro'!AD25/POPULATION!AD26*1000000</f>
        <v>355.06508114888322</v>
      </c>
      <c r="AE25" s="13">
        <f>'energy tax mil euro'!AE25/POPULATION!AE26*1000000</f>
        <v>406.75479427324177</v>
      </c>
    </row>
    <row r="26" spans="1:31" ht="11.35" customHeight="1" x14ac:dyDescent="0.45">
      <c r="A26" s="5" t="s">
        <v>58</v>
      </c>
      <c r="B26" s="13">
        <f>'energy tax mil euro'!B26/POPULATION!B27*1000000</f>
        <v>1099.4206828546778</v>
      </c>
      <c r="C26" s="13">
        <f>'energy tax mil euro'!C26/POPULATION!C27*1000000</f>
        <v>1094.8736637512147</v>
      </c>
      <c r="D26" s="13">
        <f>'energy tax mil euro'!D26/POPULATION!D27*1000000</f>
        <v>1105.5775458798128</v>
      </c>
      <c r="E26" s="13">
        <f>'energy tax mil euro'!E26/POPULATION!E27*1000000</f>
        <v>1142.731903802867</v>
      </c>
      <c r="F26" s="13">
        <f>'energy tax mil euro'!F26/POPULATION!F27*1000000</f>
        <v>1243.3368433368432</v>
      </c>
      <c r="G26" s="13">
        <f>'energy tax mil euro'!G26/POPULATION!G27*1000000</f>
        <v>1345.3874538745388</v>
      </c>
      <c r="H26" s="13">
        <f>'energy tax mil euro'!H26/POPULATION!H27*1000000</f>
        <v>1383.9407744874716</v>
      </c>
      <c r="I26" s="13">
        <f>'energy tax mil euro'!I26/POPULATION!I27*1000000</f>
        <v>1428.7805427316744</v>
      </c>
      <c r="J26" s="13">
        <f>'energy tax mil euro'!J26/POPULATION!J27*1000000</f>
        <v>1535.2665625697077</v>
      </c>
      <c r="K26" s="13">
        <f>'energy tax mil euro'!K26/POPULATION!K27*1000000</f>
        <v>1773.6724107613857</v>
      </c>
      <c r="L26" s="13">
        <f>'energy tax mil euro'!L26/POPULATION!L27*1000000</f>
        <v>1864.2542766081997</v>
      </c>
      <c r="M26" s="13">
        <f>'energy tax mil euro'!M26/POPULATION!M27*1000000</f>
        <v>1821.9260434120822</v>
      </c>
      <c r="N26" s="13">
        <f>'energy tax mil euro'!N26/POPULATION!N27*1000000</f>
        <v>1862.1045933635316</v>
      </c>
      <c r="O26" s="13">
        <f>'energy tax mil euro'!O26/POPULATION!O27*1000000</f>
        <v>1897.3582004096743</v>
      </c>
      <c r="P26" s="13">
        <f>'energy tax mil euro'!P26/POPULATION!P27*1000000</f>
        <v>1737.2239108409321</v>
      </c>
      <c r="Q26" s="13">
        <f>'energy tax mil euro'!Q26/POPULATION!Q27*1000000</f>
        <v>1766.1024646162059</v>
      </c>
      <c r="R26" s="13">
        <f>'energy tax mil euro'!R26/POPULATION!R27*1000000</f>
        <v>1856.0487652391371</v>
      </c>
      <c r="S26" s="13">
        <f>'energy tax mil euro'!S26/POPULATION!S27*1000000</f>
        <v>1844.4402527945917</v>
      </c>
      <c r="T26" s="13">
        <f>'energy tax mil euro'!T26/POPULATION!T27*1000000</f>
        <v>1735.460553144185</v>
      </c>
      <c r="U26" s="13">
        <f>'energy tax mil euro'!U26/POPULATION!U27*1000000</f>
        <v>1644.4112938436908</v>
      </c>
      <c r="V26" s="13">
        <f>'energy tax mil euro'!V26/POPULATION!V27*1000000</f>
        <v>1545.8346803846825</v>
      </c>
      <c r="W26" s="13">
        <f>'energy tax mil euro'!W26/POPULATION!W27*1000000</f>
        <v>1477.9027816100331</v>
      </c>
      <c r="X26" s="13">
        <f>'energy tax mil euro'!X26/POPULATION!X27*1000000</f>
        <v>1481.3422791522128</v>
      </c>
      <c r="Y26" s="13">
        <f>'energy tax mil euro'!Y26/POPULATION!Y27*1000000</f>
        <v>1560.0534879278409</v>
      </c>
      <c r="Z26" s="13">
        <f>'energy tax mil euro'!Z26/POPULATION!Z27*1000000</f>
        <v>1642.8243312363372</v>
      </c>
      <c r="AA26" s="13">
        <f>'energy tax mil euro'!AA26/POPULATION!AA27*1000000</f>
        <v>1302.4110856273999</v>
      </c>
      <c r="AB26" s="13">
        <f>'energy tax mil euro'!AB26/POPULATION!AB27*1000000</f>
        <v>1543.0498007026611</v>
      </c>
      <c r="AC26" s="13">
        <f>'energy tax mil euro'!AC26/POPULATION!AC27*1000000</f>
        <v>1349.5104563547707</v>
      </c>
      <c r="AD26" s="13">
        <f>'energy tax mil euro'!AD26/POPULATION!AD27*1000000</f>
        <v>1420.0018462218281</v>
      </c>
      <c r="AE26" s="13">
        <f>'energy tax mil euro'!AE26/POPULATION!AE27*1000000</f>
        <v>1391.5928874339709</v>
      </c>
    </row>
    <row r="27" spans="1:31" ht="11.35" customHeight="1" x14ac:dyDescent="0.45">
      <c r="A27" s="5" t="s">
        <v>59</v>
      </c>
      <c r="B27" s="13">
        <f>'energy tax mil euro'!B27/POPULATION!B28*1000000</f>
        <v>78.250311995124164</v>
      </c>
      <c r="C27" s="13">
        <f>'energy tax mil euro'!C27/POPULATION!C28*1000000</f>
        <v>76.829028791048046</v>
      </c>
      <c r="D27" s="13">
        <f>'energy tax mil euro'!D27/POPULATION!D28*1000000</f>
        <v>87.717535556617563</v>
      </c>
      <c r="E27" s="13">
        <f>'energy tax mil euro'!E27/POPULATION!E28*1000000</f>
        <v>114.22485662066414</v>
      </c>
      <c r="F27" s="13">
        <f>'energy tax mil euro'!F27/POPULATION!F28*1000000</f>
        <v>122.93561482339155</v>
      </c>
      <c r="G27" s="13">
        <f>'energy tax mil euro'!G27/POPULATION!G28*1000000</f>
        <v>119.73709904199364</v>
      </c>
      <c r="H27" s="13">
        <f>'energy tax mil euro'!H27/POPULATION!H28*1000000</f>
        <v>128.93642911216907</v>
      </c>
      <c r="I27" s="13">
        <f>'energy tax mil euro'!I27/POPULATION!I28*1000000</f>
        <v>149.82231192922393</v>
      </c>
      <c r="J27" s="13">
        <f>'energy tax mil euro'!J27/POPULATION!J28*1000000</f>
        <v>145.96698481083598</v>
      </c>
      <c r="K27" s="13">
        <f>'energy tax mil euro'!K27/POPULATION!K28*1000000</f>
        <v>154.24333248787011</v>
      </c>
      <c r="L27" s="13">
        <f>'energy tax mil euro'!L27/POPULATION!L28*1000000</f>
        <v>186.68688807551217</v>
      </c>
      <c r="M27" s="13">
        <f>'energy tax mil euro'!M27/POPULATION!M28*1000000</f>
        <v>193.94375929692819</v>
      </c>
      <c r="N27" s="13">
        <f>'energy tax mil euro'!N27/POPULATION!N28*1000000</f>
        <v>202.65328638791485</v>
      </c>
      <c r="O27" s="13">
        <f>'energy tax mil euro'!O27/POPULATION!O28*1000000</f>
        <v>211.6928930960546</v>
      </c>
      <c r="P27" s="13">
        <f>'energy tax mil euro'!P27/POPULATION!P28*1000000</f>
        <v>188.14522018049092</v>
      </c>
      <c r="Q27" s="13">
        <f>'energy tax mil euro'!Q27/POPULATION!Q28*1000000</f>
        <v>206.70291873919797</v>
      </c>
      <c r="R27" s="13">
        <f>'energy tax mil euro'!R27/POPULATION!R28*1000000</f>
        <v>203.56565103654998</v>
      </c>
      <c r="S27" s="13">
        <f>'energy tax mil euro'!S27/POPULATION!S28*1000000</f>
        <v>190.97405588544012</v>
      </c>
      <c r="T27" s="13">
        <f>'energy tax mil euro'!T27/POPULATION!T28*1000000</f>
        <v>190.02450670776381</v>
      </c>
      <c r="U27" s="13">
        <f>'energy tax mil euro'!U27/POPULATION!U28*1000000</f>
        <v>197.37027113209791</v>
      </c>
      <c r="V27" s="13">
        <f>'energy tax mil euro'!V27/POPULATION!V28*1000000</f>
        <v>213.60129700327775</v>
      </c>
      <c r="W27" s="13">
        <f>'energy tax mil euro'!W27/POPULATION!W28*1000000</f>
        <v>228.92839131699165</v>
      </c>
      <c r="X27" s="13">
        <f>'energy tax mil euro'!X27/POPULATION!X28*1000000</f>
        <v>238.78687335963969</v>
      </c>
      <c r="Y27" s="13">
        <f>'energy tax mil euro'!Y27/POPULATION!Y28*1000000</f>
        <v>245.24754070429717</v>
      </c>
      <c r="Z27" s="13">
        <f>'energy tax mil euro'!Z27/POPULATION!Z28*1000000</f>
        <v>264.50083049217585</v>
      </c>
      <c r="AA27" s="13">
        <f>'energy tax mil euro'!AA27/POPULATION!AA28*1000000</f>
        <v>240.29204770255589</v>
      </c>
      <c r="AB27" s="13">
        <f>'energy tax mil euro'!AB27/POPULATION!AB28*1000000</f>
        <v>249.0856047597353</v>
      </c>
      <c r="AC27" s="13">
        <f>'energy tax mil euro'!AC27/POPULATION!AC28*1000000</f>
        <v>247.50679029797192</v>
      </c>
      <c r="AD27" s="13">
        <f>'energy tax mil euro'!AD27/POPULATION!AD28*1000000</f>
        <v>347.60197771940585</v>
      </c>
      <c r="AE27" s="13">
        <f>'energy tax mil euro'!AE27/POPULATION!AE28*1000000</f>
        <v>332.1214273648834</v>
      </c>
    </row>
    <row r="28" spans="1:31" ht="11.35" customHeight="1" x14ac:dyDescent="0.45">
      <c r="A28" s="5" t="s">
        <v>60</v>
      </c>
      <c r="B28" s="13">
        <f>'energy tax mil euro'!B28/POPULATION!B29*1000000</f>
        <v>62.242151989862734</v>
      </c>
      <c r="C28" s="13">
        <f>'energy tax mil euro'!C28/POPULATION!C29*1000000</f>
        <v>62.472912548493142</v>
      </c>
      <c r="D28" s="13">
        <f>'energy tax mil euro'!D28/POPULATION!D29*1000000</f>
        <v>106.10768081173555</v>
      </c>
      <c r="E28" s="13">
        <f>'energy tax mil euro'!E28/POPULATION!E29*1000000</f>
        <v>141.21131981175296</v>
      </c>
      <c r="F28" s="13">
        <f>'energy tax mil euro'!F28/POPULATION!F29*1000000</f>
        <v>151.01048921187277</v>
      </c>
      <c r="G28" s="13">
        <f>'energy tax mil euro'!G28/POPULATION!G29*1000000</f>
        <v>150.65889149833188</v>
      </c>
      <c r="H28" s="13">
        <f>'energy tax mil euro'!H28/POPULATION!H29*1000000</f>
        <v>168.54233997164135</v>
      </c>
      <c r="I28" s="13">
        <f>'energy tax mil euro'!I28/POPULATION!I29*1000000</f>
        <v>155.71113999812488</v>
      </c>
      <c r="J28" s="13">
        <f>'energy tax mil euro'!J28/POPULATION!J29*1000000</f>
        <v>141.68277556280455</v>
      </c>
      <c r="K28" s="13">
        <f>'energy tax mil euro'!K28/POPULATION!K29*1000000</f>
        <v>141.22195630046991</v>
      </c>
      <c r="L28" s="13">
        <f>'energy tax mil euro'!L28/POPULATION!L29*1000000</f>
        <v>154.49452154131941</v>
      </c>
      <c r="M28" s="13">
        <f>'energy tax mil euro'!M28/POPULATION!M29*1000000</f>
        <v>165.18559305084705</v>
      </c>
      <c r="N28" s="13">
        <f>'energy tax mil euro'!N28/POPULATION!N29*1000000</f>
        <v>240.57236400930927</v>
      </c>
      <c r="O28" s="13">
        <f>'energy tax mil euro'!O28/POPULATION!O29*1000000</f>
        <v>211.41058082739951</v>
      </c>
      <c r="P28" s="13">
        <f>'energy tax mil euro'!P28/POPULATION!P29*1000000</f>
        <v>210.79221076300843</v>
      </c>
      <c r="Q28" s="13">
        <f>'energy tax mil euro'!Q28/POPULATION!Q29*1000000</f>
        <v>223.94674743434607</v>
      </c>
      <c r="R28" s="13">
        <f>'energy tax mil euro'!R28/POPULATION!R29*1000000</f>
        <v>258.68155541472186</v>
      </c>
      <c r="S28" s="13">
        <f>'energy tax mil euro'!S28/POPULATION!S29*1000000</f>
        <v>259.49236730803312</v>
      </c>
      <c r="T28" s="13">
        <f>'energy tax mil euro'!T28/POPULATION!T29*1000000</f>
        <v>253.23633809767858</v>
      </c>
      <c r="U28" s="13">
        <f>'energy tax mil euro'!U28/POPULATION!U29*1000000</f>
        <v>302.43649510925928</v>
      </c>
      <c r="V28" s="13">
        <f>'energy tax mil euro'!V28/POPULATION!V29*1000000</f>
        <v>309.15782636934398</v>
      </c>
      <c r="W28" s="13">
        <f>'energy tax mil euro'!W28/POPULATION!W29*1000000</f>
        <v>326.50927974912986</v>
      </c>
      <c r="X28" s="13">
        <f>'energy tax mil euro'!X28/POPULATION!X29*1000000</f>
        <v>336.37006802721095</v>
      </c>
      <c r="Y28" s="13">
        <f>'energy tax mil euro'!Y28/POPULATION!Y29*1000000</f>
        <v>334.2620730903447</v>
      </c>
      <c r="Z28" s="13">
        <f>'energy tax mil euro'!Z28/POPULATION!Z29*1000000</f>
        <v>362.35617727722689</v>
      </c>
      <c r="AA28" s="13">
        <f>'energy tax mil euro'!AA28/POPULATION!AA29*1000000</f>
        <v>275.00946868535806</v>
      </c>
      <c r="AB28" s="13">
        <f>'energy tax mil euro'!AB28/POPULATION!AB29*1000000</f>
        <v>266.50520707193027</v>
      </c>
      <c r="AC28" s="13">
        <f>'energy tax mil euro'!AC28/POPULATION!AC29*1000000</f>
        <v>278.25304609611402</v>
      </c>
      <c r="AD28" s="13">
        <f>'energy tax mil euro'!AD28/POPULATION!AD29*1000000</f>
        <v>278.90364559792346</v>
      </c>
      <c r="AE28" s="13">
        <f>'energy tax mil euro'!AE28/POPULATION!AE29*1000000</f>
        <v>277.24188604703585</v>
      </c>
    </row>
    <row r="29" spans="1:31" ht="11.35" customHeight="1" x14ac:dyDescent="0.45">
      <c r="A29" s="5" t="s">
        <v>61</v>
      </c>
      <c r="B29" s="13">
        <f>'energy tax mil euro'!B29/POPULATION!B30*1000000</f>
        <v>340.08029760138049</v>
      </c>
      <c r="C29" s="13">
        <f>'energy tax mil euro'!C29/POPULATION!C30*1000000</f>
        <v>367.8521254411981</v>
      </c>
      <c r="D29" s="13">
        <f>'energy tax mil euro'!D29/POPULATION!D30*1000000</f>
        <v>402.44022219414308</v>
      </c>
      <c r="E29" s="13">
        <f>'energy tax mil euro'!E29/POPULATION!E30*1000000</f>
        <v>419.34262720171063</v>
      </c>
      <c r="F29" s="13">
        <f>'energy tax mil euro'!F29/POPULATION!F30*1000000</f>
        <v>461.35128146964905</v>
      </c>
      <c r="G29" s="13">
        <f>'energy tax mil euro'!G29/POPULATION!G30*1000000</f>
        <v>488.21384333662172</v>
      </c>
      <c r="H29" s="13">
        <f>'energy tax mil euro'!H29/POPULATION!H30*1000000</f>
        <v>573.08794760767682</v>
      </c>
      <c r="I29" s="13">
        <f>'energy tax mil euro'!I29/POPULATION!I30*1000000</f>
        <v>576.76719163926623</v>
      </c>
      <c r="J29" s="13">
        <f>'energy tax mil euro'!J29/POPULATION!J30*1000000</f>
        <v>604.10415343529121</v>
      </c>
      <c r="K29" s="13">
        <f>'energy tax mil euro'!K29/POPULATION!K30*1000000</f>
        <v>656.47551930024497</v>
      </c>
      <c r="L29" s="13">
        <f>'energy tax mil euro'!L29/POPULATION!L30*1000000</f>
        <v>708.10349816375128</v>
      </c>
      <c r="M29" s="13">
        <f>'energy tax mil euro'!M29/POPULATION!M30*1000000</f>
        <v>753.51057688128162</v>
      </c>
      <c r="N29" s="13">
        <f>'energy tax mil euro'!N29/POPULATION!N30*1000000</f>
        <v>719.89275945360532</v>
      </c>
      <c r="O29" s="13">
        <f>'energy tax mil euro'!O29/POPULATION!O30*1000000</f>
        <v>830.33640327796957</v>
      </c>
      <c r="P29" s="13">
        <f>'energy tax mil euro'!P29/POPULATION!P30*1000000</f>
        <v>843.08986886704281</v>
      </c>
      <c r="Q29" s="13">
        <f>'energy tax mil euro'!Q29/POPULATION!Q30*1000000</f>
        <v>864.97794960829231</v>
      </c>
      <c r="R29" s="13">
        <f>'energy tax mil euro'!R29/POPULATION!R30*1000000</f>
        <v>859.76061550694749</v>
      </c>
      <c r="S29" s="13">
        <f>'energy tax mil euro'!S29/POPULATION!S30*1000000</f>
        <v>835.24861527088376</v>
      </c>
      <c r="T29" s="13">
        <f>'energy tax mil euro'!T29/POPULATION!T30*1000000</f>
        <v>892.45406990343918</v>
      </c>
      <c r="U29" s="13">
        <f>'energy tax mil euro'!U29/POPULATION!U30*1000000</f>
        <v>894.6902034898801</v>
      </c>
      <c r="V29" s="13">
        <f>'energy tax mil euro'!V29/POPULATION!V30*1000000</f>
        <v>902.8606226738425</v>
      </c>
      <c r="W29" s="13">
        <f>'energy tax mil euro'!W29/POPULATION!W30*1000000</f>
        <v>933.79397754418369</v>
      </c>
      <c r="X29" s="13">
        <f>'energy tax mil euro'!X29/POPULATION!X30*1000000</f>
        <v>944.41315979907392</v>
      </c>
      <c r="Y29" s="13">
        <f>'energy tax mil euro'!Y29/POPULATION!Y30*1000000</f>
        <v>985.38602104500512</v>
      </c>
      <c r="Z29" s="13">
        <f>'energy tax mil euro'!Z29/POPULATION!Z30*1000000</f>
        <v>1037.2544223775694</v>
      </c>
      <c r="AA29" s="13">
        <f>'energy tax mil euro'!AA29/POPULATION!AA30*1000000</f>
        <v>1024.0938073833906</v>
      </c>
      <c r="AB29" s="13">
        <f>'energy tax mil euro'!AB29/POPULATION!AB30*1000000</f>
        <v>1086.5550260179803</v>
      </c>
      <c r="AC29" s="13">
        <f>'energy tax mil euro'!AC29/POPULATION!AC30*1000000</f>
        <v>966.30759757216777</v>
      </c>
      <c r="AD29" s="13">
        <f>'energy tax mil euro'!AD29/POPULATION!AD30*1000000</f>
        <v>973.14675280977667</v>
      </c>
      <c r="AE29" s="13">
        <f>'energy tax mil euro'!AE29/POPULATION!AE30*1000000</f>
        <v>1099.7639071675089</v>
      </c>
    </row>
    <row r="30" spans="1:31" ht="11.35" customHeight="1" x14ac:dyDescent="0.45">
      <c r="A30" s="5" t="s">
        <v>62</v>
      </c>
      <c r="B30" s="13">
        <f>'energy tax mil euro'!B30/POPULATION!B31*1000000</f>
        <v>326.28357639823008</v>
      </c>
      <c r="C30" s="13">
        <f>'energy tax mil euro'!C30/POPULATION!C31*1000000</f>
        <v>334.4445608216302</v>
      </c>
      <c r="D30" s="13">
        <f>'energy tax mil euro'!D30/POPULATION!D31*1000000</f>
        <v>382.82649291911599</v>
      </c>
      <c r="E30" s="13">
        <f>'energy tax mil euro'!E30/POPULATION!E31*1000000</f>
        <v>372.65296352480635</v>
      </c>
      <c r="F30" s="13">
        <f>'energy tax mil euro'!F30/POPULATION!F31*1000000</f>
        <v>388.45789537838016</v>
      </c>
      <c r="G30" s="13">
        <f>'energy tax mil euro'!G30/POPULATION!G31*1000000</f>
        <v>412.50728238508827</v>
      </c>
      <c r="H30" s="13">
        <f>'energy tax mil euro'!H30/POPULATION!H31*1000000</f>
        <v>452.19977793143107</v>
      </c>
      <c r="I30" s="13">
        <f>'energy tax mil euro'!I30/POPULATION!I31*1000000</f>
        <v>473.92120679990677</v>
      </c>
      <c r="J30" s="13">
        <f>'energy tax mil euro'!J30/POPULATION!J31*1000000</f>
        <v>503.46945096788716</v>
      </c>
      <c r="K30" s="13">
        <f>'energy tax mil euro'!K30/POPULATION!K31*1000000</f>
        <v>531.09502364915841</v>
      </c>
      <c r="L30" s="13">
        <f>'energy tax mil euro'!L30/POPULATION!L31*1000000</f>
        <v>526.76513733882393</v>
      </c>
      <c r="M30" s="13">
        <f>'energy tax mil euro'!M30/POPULATION!M31*1000000</f>
        <v>515.36302663170147</v>
      </c>
      <c r="N30" s="13">
        <f>'energy tax mil euro'!N30/POPULATION!N31*1000000</f>
        <v>561.3786046188186</v>
      </c>
      <c r="O30" s="13">
        <f>'energy tax mil euro'!O30/POPULATION!O31*1000000</f>
        <v>564.23642351957858</v>
      </c>
      <c r="P30" s="13">
        <f>'energy tax mil euro'!P30/POPULATION!P31*1000000</f>
        <v>545.80904170040492</v>
      </c>
      <c r="Q30" s="13">
        <f>'energy tax mil euro'!Q30/POPULATION!Q31*1000000</f>
        <v>567.49911364745833</v>
      </c>
      <c r="R30" s="13">
        <f>'energy tax mil euro'!R30/POPULATION!R31*1000000</f>
        <v>623.99255704127108</v>
      </c>
      <c r="S30" s="13">
        <f>'energy tax mil euro'!S30/POPULATION!S31*1000000</f>
        <v>629.93265677313639</v>
      </c>
      <c r="T30" s="13">
        <f>'energy tax mil euro'!T30/POPULATION!T31*1000000</f>
        <v>662.29327035705751</v>
      </c>
      <c r="U30" s="13">
        <f>'energy tax mil euro'!U30/POPULATION!U31*1000000</f>
        <v>669.38096468340882</v>
      </c>
      <c r="V30" s="13">
        <f>'energy tax mil euro'!V30/POPULATION!V31*1000000</f>
        <v>704.47666060254926</v>
      </c>
      <c r="W30" s="13">
        <f>'energy tax mil euro'!W30/POPULATION!W31*1000000</f>
        <v>725.43199098071818</v>
      </c>
      <c r="X30" s="13">
        <f>'energy tax mil euro'!X30/POPULATION!X31*1000000</f>
        <v>728.88731332352666</v>
      </c>
      <c r="Y30" s="13">
        <f>'energy tax mil euro'!Y30/POPULATION!Y31*1000000</f>
        <v>699.59569348785294</v>
      </c>
      <c r="Z30" s="13">
        <f>'energy tax mil euro'!Z30/POPULATION!Z31*1000000</f>
        <v>697.76916108604189</v>
      </c>
      <c r="AA30" s="13">
        <f>'energy tax mil euro'!AA30/POPULATION!AA31*1000000</f>
        <v>610.81349375760021</v>
      </c>
      <c r="AB30" s="13">
        <f>'energy tax mil euro'!AB30/POPULATION!AB31*1000000</f>
        <v>706.76228278596398</v>
      </c>
      <c r="AC30" s="13">
        <f>'energy tax mil euro'!AC30/POPULATION!AC31*1000000</f>
        <v>550.50106755493891</v>
      </c>
      <c r="AD30" s="13">
        <f>'energy tax mil euro'!AD30/POPULATION!AD31*1000000</f>
        <v>637.73260879020359</v>
      </c>
      <c r="AE30" s="13">
        <f>'energy tax mil euro'!AE30/POPULATION!AE31*1000000</f>
        <v>629.52040398526003</v>
      </c>
    </row>
    <row r="31" spans="1:31" ht="11.35" customHeight="1" x14ac:dyDescent="0.45">
      <c r="A31" s="5" t="s">
        <v>63</v>
      </c>
      <c r="B31" s="13">
        <f>'energy tax mil euro'!B31/POPULATION!B32*1000000</f>
        <v>33.984699614679371</v>
      </c>
      <c r="C31" s="13">
        <f>'energy tax mil euro'!C31/POPULATION!C32*1000000</f>
        <v>44.372097063722748</v>
      </c>
      <c r="D31" s="13">
        <f>'energy tax mil euro'!D31/POPULATION!D32*1000000</f>
        <v>46.613113820962937</v>
      </c>
      <c r="E31" s="13">
        <f>'energy tax mil euro'!E31/POPULATION!E32*1000000</f>
        <v>58.370699063235399</v>
      </c>
      <c r="F31" s="13">
        <f>'energy tax mil euro'!F31/POPULATION!F32*1000000</f>
        <v>72.904317360369177</v>
      </c>
      <c r="G31" s="13">
        <f>'energy tax mil euro'!G31/POPULATION!G32*1000000</f>
        <v>85.62459963270814</v>
      </c>
      <c r="H31" s="13">
        <f>'energy tax mil euro'!H31/POPULATION!H32*1000000</f>
        <v>97.855502783960503</v>
      </c>
      <c r="I31" s="13">
        <f>'energy tax mil euro'!I31/POPULATION!I32*1000000</f>
        <v>110.1510982750285</v>
      </c>
      <c r="J31" s="13">
        <f>'energy tax mil euro'!J31/POPULATION!J32*1000000</f>
        <v>106.19926757519802</v>
      </c>
      <c r="K31" s="13">
        <f>'energy tax mil euro'!K31/POPULATION!K32*1000000</f>
        <v>119.11645920902856</v>
      </c>
      <c r="L31" s="13">
        <f>'energy tax mil euro'!L31/POPULATION!L32*1000000</f>
        <v>145.83915920420358</v>
      </c>
      <c r="M31" s="13">
        <f>'energy tax mil euro'!M31/POPULATION!M32*1000000</f>
        <v>160.59887221380163</v>
      </c>
      <c r="N31" s="13">
        <f>'energy tax mil euro'!N31/POPULATION!N32*1000000</f>
        <v>189.76076339919558</v>
      </c>
      <c r="O31" s="13">
        <f>'energy tax mil euro'!O31/POPULATION!O32*1000000</f>
        <v>222.39400355355431</v>
      </c>
      <c r="P31" s="13">
        <f>'energy tax mil euro'!P31/POPULATION!P32*1000000</f>
        <v>184.12871910953348</v>
      </c>
      <c r="Q31" s="13">
        <f>'energy tax mil euro'!Q31/POPULATION!Q32*1000000</f>
        <v>217.74316924901169</v>
      </c>
      <c r="R31" s="13">
        <f>'energy tax mil euro'!R31/POPULATION!R32*1000000</f>
        <v>222.67747668466555</v>
      </c>
      <c r="S31" s="13">
        <f>'energy tax mil euro'!S31/POPULATION!S32*1000000</f>
        <v>226.9382409403666</v>
      </c>
      <c r="T31" s="13">
        <f>'energy tax mil euro'!T31/POPULATION!T32*1000000</f>
        <v>220.69575765250528</v>
      </c>
      <c r="U31" s="13">
        <f>'energy tax mil euro'!U31/POPULATION!U32*1000000</f>
        <v>239.56795459480935</v>
      </c>
      <c r="V31" s="13">
        <f>'energy tax mil euro'!V31/POPULATION!V32*1000000</f>
        <v>256.93098919543831</v>
      </c>
      <c r="W31" s="13">
        <f>'energy tax mil euro'!W31/POPULATION!W32*1000000</f>
        <v>263.28245513121601</v>
      </c>
      <c r="X31" s="13">
        <f>'energy tax mil euro'!X31/POPULATION!X32*1000000</f>
        <v>286.75981153327933</v>
      </c>
      <c r="Y31" s="13">
        <f>'energy tax mil euro'!Y31/POPULATION!Y32*1000000</f>
        <v>310.42228617783326</v>
      </c>
      <c r="Z31" s="13">
        <f>'energy tax mil euro'!Z31/POPULATION!Z32*1000000</f>
        <v>310.41972872591055</v>
      </c>
      <c r="AA31" s="13">
        <f>'energy tax mil euro'!AA31/POPULATION!AA32*1000000</f>
        <v>310.45121338670509</v>
      </c>
      <c r="AB31" s="13">
        <f>'energy tax mil euro'!AB31/POPULATION!AB32*1000000</f>
        <v>410.12174861855647</v>
      </c>
      <c r="AC31" s="13">
        <f>'energy tax mil euro'!AC31/POPULATION!AC32*1000000</f>
        <v>454.11814947784569</v>
      </c>
      <c r="AD31" s="13">
        <f>'energy tax mil euro'!AD31/POPULATION!AD32*1000000</f>
        <v>647.39976365940049</v>
      </c>
      <c r="AE31" s="13">
        <f>'energy tax mil euro'!AE31/POPULATION!AE32*1000000</f>
        <v>629.90466937385884</v>
      </c>
    </row>
    <row r="32" spans="1:31" ht="11.35" customHeight="1" x14ac:dyDescent="0.45">
      <c r="A32" s="5" t="s">
        <v>64</v>
      </c>
      <c r="B32" s="13">
        <f>'energy tax mil euro'!B32/POPULATION!B33*1000000</f>
        <v>226.82559172012952</v>
      </c>
      <c r="C32" s="13">
        <f>'energy tax mil euro'!C32/POPULATION!C33*1000000</f>
        <v>236.47277948459794</v>
      </c>
      <c r="D32" s="13">
        <f>'energy tax mil euro'!D32/POPULATION!D33*1000000</f>
        <v>231.24005126437447</v>
      </c>
      <c r="E32" s="13">
        <f>'energy tax mil euro'!E32/POPULATION!E33*1000000</f>
        <v>254.0242228006629</v>
      </c>
      <c r="F32" s="13">
        <f>'energy tax mil euro'!F32/POPULATION!F33*1000000</f>
        <v>248.70629493510808</v>
      </c>
      <c r="G32" s="13">
        <f>'energy tax mil euro'!G32/POPULATION!G33*1000000</f>
        <v>192.95792320477017</v>
      </c>
      <c r="H32" s="13">
        <f>'energy tax mil euro'!H32/POPULATION!H33*1000000</f>
        <v>233.8943819698311</v>
      </c>
      <c r="I32" s="13">
        <f>'energy tax mil euro'!I32/POPULATION!I33*1000000</f>
        <v>279.05746686113815</v>
      </c>
      <c r="J32" s="13">
        <f>'energy tax mil euro'!J32/POPULATION!J33*1000000</f>
        <v>295.34135943270923</v>
      </c>
      <c r="K32" s="13">
        <f>'energy tax mil euro'!K32/POPULATION!K33*1000000</f>
        <v>299.7235762266007</v>
      </c>
      <c r="L32" s="13">
        <f>'energy tax mil euro'!L32/POPULATION!L33*1000000</f>
        <v>301.06800860474726</v>
      </c>
      <c r="M32" s="13">
        <f>'energy tax mil euro'!M32/POPULATION!M33*1000000</f>
        <v>305.89837050803328</v>
      </c>
      <c r="N32" s="13">
        <f>'energy tax mil euro'!N32/POPULATION!N33*1000000</f>
        <v>319.46754207038197</v>
      </c>
      <c r="O32" s="13">
        <f>'energy tax mil euro'!O32/POPULATION!O33*1000000</f>
        <v>310.30558195846834</v>
      </c>
      <c r="P32" s="13">
        <f>'energy tax mil euro'!P32/POPULATION!P33*1000000</f>
        <v>304.71037906415728</v>
      </c>
      <c r="Q32" s="13">
        <f>'energy tax mil euro'!Q32/POPULATION!Q33*1000000</f>
        <v>300.43659234581162</v>
      </c>
      <c r="R32" s="13">
        <f>'energy tax mil euro'!R32/POPULATION!R33*1000000</f>
        <v>287.47377330774168</v>
      </c>
      <c r="S32" s="13">
        <f>'energy tax mil euro'!S32/POPULATION!S33*1000000</f>
        <v>268.08726246454427</v>
      </c>
      <c r="T32" s="13">
        <f>'energy tax mil euro'!T32/POPULATION!T33*1000000</f>
        <v>267.30004477389281</v>
      </c>
      <c r="U32" s="13">
        <f>'energy tax mil euro'!U32/POPULATION!U33*1000000</f>
        <v>278.00789192588496</v>
      </c>
      <c r="V32" s="13">
        <f>'energy tax mil euro'!V32/POPULATION!V33*1000000</f>
        <v>305.16624097016285</v>
      </c>
      <c r="W32" s="13">
        <f>'energy tax mil euro'!W32/POPULATION!W33*1000000</f>
        <v>342.6109368770226</v>
      </c>
      <c r="X32" s="13">
        <f>'energy tax mil euro'!X32/POPULATION!X33*1000000</f>
        <v>349.22400144308881</v>
      </c>
      <c r="Y32" s="13">
        <f>'energy tax mil euro'!Y32/POPULATION!Y33*1000000</f>
        <v>356.31307585211357</v>
      </c>
      <c r="Z32" s="13">
        <f>'energy tax mil euro'!Z32/POPULATION!Z33*1000000</f>
        <v>381.74689379083327</v>
      </c>
      <c r="AA32" s="13">
        <f>'energy tax mil euro'!AA32/POPULATION!AA33*1000000</f>
        <v>346.80896486350639</v>
      </c>
      <c r="AB32" s="13">
        <f>'energy tax mil euro'!AB32/POPULATION!AB33*1000000</f>
        <v>370.28093386209764</v>
      </c>
      <c r="AC32" s="13">
        <f>'energy tax mil euro'!AC32/POPULATION!AC33*1000000</f>
        <v>321.38973202200879</v>
      </c>
      <c r="AD32" s="13">
        <f>'energy tax mil euro'!AD32/POPULATION!AD33*1000000</f>
        <v>377.45298608745151</v>
      </c>
      <c r="AE32" s="13">
        <f>'energy tax mil euro'!AE32/POPULATION!AE33*1000000</f>
        <v>415.4909628311857</v>
      </c>
    </row>
    <row r="33" spans="1:31" ht="11.35" customHeight="1" x14ac:dyDescent="0.45">
      <c r="A33" s="5" t="s">
        <v>65</v>
      </c>
      <c r="B33" s="13">
        <f>'energy tax mil euro'!B33/POPULATION!B34*1000000</f>
        <v>17.763869365774475</v>
      </c>
      <c r="C33" s="13">
        <f>'energy tax mil euro'!C33/POPULATION!C34*1000000</f>
        <v>17.826510202861076</v>
      </c>
      <c r="D33" s="13">
        <f>'energy tax mil euro'!D33/POPULATION!D34*1000000</f>
        <v>32.229406060492266</v>
      </c>
      <c r="E33" s="13">
        <f>'energy tax mil euro'!E33/POPULATION!E34*1000000</f>
        <v>41.943358752891591</v>
      </c>
      <c r="F33" s="13">
        <f>'energy tax mil euro'!F33/POPULATION!F34*1000000</f>
        <v>51.583925096254347</v>
      </c>
      <c r="G33" s="13">
        <f>'energy tax mil euro'!G33/POPULATION!G34*1000000</f>
        <v>54.229512299556212</v>
      </c>
      <c r="H33" s="13">
        <f>'energy tax mil euro'!H33/POPULATION!H34*1000000</f>
        <v>38.868133627415617</v>
      </c>
      <c r="I33" s="13">
        <f>'energy tax mil euro'!I33/POPULATION!I34*1000000</f>
        <v>38.64339922311067</v>
      </c>
      <c r="J33" s="13">
        <f>'energy tax mil euro'!J33/POPULATION!J34*1000000</f>
        <v>48.930276713790754</v>
      </c>
      <c r="K33" s="13">
        <f>'energy tax mil euro'!K33/POPULATION!K34*1000000</f>
        <v>60.991651837063287</v>
      </c>
      <c r="L33" s="13">
        <f>'energy tax mil euro'!L33/POPULATION!L34*1000000</f>
        <v>68.50134461341348</v>
      </c>
      <c r="M33" s="13">
        <f>'energy tax mil euro'!M33/POPULATION!M34*1000000</f>
        <v>78.352954149350026</v>
      </c>
      <c r="N33" s="13">
        <f>'energy tax mil euro'!N33/POPULATION!N34*1000000</f>
        <v>99.857537702722922</v>
      </c>
      <c r="O33" s="13">
        <f>'energy tax mil euro'!O33/POPULATION!O34*1000000</f>
        <v>95.425544184622012</v>
      </c>
      <c r="P33" s="13">
        <f>'energy tax mil euro'!P33/POPULATION!P34*1000000</f>
        <v>93.215409370414989</v>
      </c>
      <c r="Q33" s="13">
        <f>'energy tax mil euro'!Q33/POPULATION!Q34*1000000</f>
        <v>110.15348207212698</v>
      </c>
      <c r="R33" s="13">
        <f>'energy tax mil euro'!R33/POPULATION!R34*1000000</f>
        <v>111.27696592202638</v>
      </c>
      <c r="S33" s="13">
        <f>'energy tax mil euro'!S33/POPULATION!S34*1000000</f>
        <v>114.59148379607559</v>
      </c>
      <c r="T33" s="13">
        <f>'energy tax mil euro'!T33/POPULATION!T34*1000000</f>
        <v>127.29723176847398</v>
      </c>
      <c r="U33" s="13">
        <f>'energy tax mil euro'!U33/POPULATION!U34*1000000</f>
        <v>159.61198980654584</v>
      </c>
      <c r="V33" s="13">
        <f>'energy tax mil euro'!V33/POPULATION!V34*1000000</f>
        <v>178.18242153866456</v>
      </c>
      <c r="W33" s="13">
        <f>'energy tax mil euro'!W33/POPULATION!W34*1000000</f>
        <v>185.92870605804433</v>
      </c>
      <c r="X33" s="13">
        <f>'energy tax mil euro'!X33/POPULATION!X34*1000000</f>
        <v>171.66507610053355</v>
      </c>
      <c r="Y33" s="13">
        <f>'energy tax mil euro'!Y33/POPULATION!Y34*1000000</f>
        <v>191.62175958294378</v>
      </c>
      <c r="Z33" s="13">
        <f>'energy tax mil euro'!Z33/POPULATION!Z34*1000000</f>
        <v>227.09518854453728</v>
      </c>
      <c r="AA33" s="13">
        <f>'energy tax mil euro'!AA33/POPULATION!AA34*1000000</f>
        <v>200.66803808899425</v>
      </c>
      <c r="AB33" s="13">
        <f>'energy tax mil euro'!AB33/POPULATION!AB34*1000000</f>
        <v>285.45289465047352</v>
      </c>
      <c r="AC33" s="13">
        <f>'energy tax mil euro'!AC33/POPULATION!AC34*1000000</f>
        <v>533.21261067920773</v>
      </c>
      <c r="AD33" s="13">
        <f>'energy tax mil euro'!AD33/POPULATION!AD34*1000000</f>
        <v>414.49936993669138</v>
      </c>
      <c r="AE33" s="13">
        <f>'energy tax mil euro'!AE33/POPULATION!AE34*1000000</f>
        <v>422.72756641955959</v>
      </c>
    </row>
    <row r="34" spans="1:31" ht="11.35" customHeight="1" x14ac:dyDescent="0.45">
      <c r="A34" s="5" t="s">
        <v>66</v>
      </c>
      <c r="B34" s="13">
        <f>'energy tax mil euro'!B34/POPULATION!B35*1000000</f>
        <v>250.01042987679676</v>
      </c>
      <c r="C34" s="13">
        <f>'energy tax mil euro'!C34/POPULATION!C35*1000000</f>
        <v>276.18418844516259</v>
      </c>
      <c r="D34" s="13">
        <f>'energy tax mil euro'!D34/POPULATION!D35*1000000</f>
        <v>312.09533620971229</v>
      </c>
      <c r="E34" s="13">
        <f>'energy tax mil euro'!E34/POPULATION!E35*1000000</f>
        <v>377.2942325722459</v>
      </c>
      <c r="F34" s="13">
        <f>'energy tax mil euro'!F34/POPULATION!F35*1000000</f>
        <v>335.95944870785218</v>
      </c>
      <c r="G34" s="13">
        <f>'energy tax mil euro'!G34/POPULATION!G35*1000000</f>
        <v>254.68933545633138</v>
      </c>
      <c r="H34" s="13">
        <f>'energy tax mil euro'!H34/POPULATION!H35*1000000</f>
        <v>303.60877425890436</v>
      </c>
      <c r="I34" s="13">
        <f>'energy tax mil euro'!I34/POPULATION!I35*1000000</f>
        <v>323.27562428975352</v>
      </c>
      <c r="J34" s="13">
        <f>'energy tax mil euro'!J34/POPULATION!J35*1000000</f>
        <v>328.47576957373639</v>
      </c>
      <c r="K34" s="13">
        <f>'energy tax mil euro'!K34/POPULATION!K35*1000000</f>
        <v>348.42641851742582</v>
      </c>
      <c r="L34" s="13">
        <f>'energy tax mil euro'!L34/POPULATION!L35*1000000</f>
        <v>351.09807317817973</v>
      </c>
      <c r="M34" s="13">
        <f>'energy tax mil euro'!M34/POPULATION!M35*1000000</f>
        <v>359.86079372733178</v>
      </c>
      <c r="N34" s="13">
        <f>'energy tax mil euro'!N34/POPULATION!N35*1000000</f>
        <v>397.55229989201035</v>
      </c>
      <c r="O34" s="13">
        <f>'energy tax mil euro'!O34/POPULATION!O35*1000000</f>
        <v>433.76284467402121</v>
      </c>
      <c r="P34" s="13">
        <f>'energy tax mil euro'!P34/POPULATION!P35*1000000</f>
        <v>539.97270171357263</v>
      </c>
      <c r="Q34" s="13">
        <f>'energy tax mil euro'!Q34/POPULATION!Q35*1000000</f>
        <v>586.98782985242622</v>
      </c>
      <c r="R34" s="13">
        <f>'energy tax mil euro'!R34/POPULATION!R35*1000000</f>
        <v>566.39168388865619</v>
      </c>
      <c r="S34" s="13">
        <f>'energy tax mil euro'!S34/POPULATION!S35*1000000</f>
        <v>600.29793295632783</v>
      </c>
      <c r="T34" s="13">
        <f>'energy tax mil euro'!T34/POPULATION!T35*1000000</f>
        <v>641.0562161547798</v>
      </c>
      <c r="U34" s="13">
        <f>'energy tax mil euro'!U34/POPULATION!U35*1000000</f>
        <v>656.22232950120929</v>
      </c>
      <c r="V34" s="13">
        <f>'energy tax mil euro'!V34/POPULATION!V35*1000000</f>
        <v>705.75323553450187</v>
      </c>
      <c r="W34" s="13">
        <f>'energy tax mil euro'!W34/POPULATION!W35*1000000</f>
        <v>742.73758010413781</v>
      </c>
      <c r="X34" s="13">
        <f>'energy tax mil euro'!X34/POPULATION!X35*1000000</f>
        <v>753.64914480164771</v>
      </c>
      <c r="Y34" s="13">
        <f>'energy tax mil euro'!Y34/POPULATION!Y35*1000000</f>
        <v>743.42487227124934</v>
      </c>
      <c r="Z34" s="13">
        <f>'energy tax mil euro'!Z34/POPULATION!Z35*1000000</f>
        <v>740.42677523465716</v>
      </c>
      <c r="AA34" s="13">
        <f>'energy tax mil euro'!AA34/POPULATION!AA35*1000000</f>
        <v>623.28560911243642</v>
      </c>
      <c r="AB34" s="13">
        <f>'energy tax mil euro'!AB34/POPULATION!AB35*1000000</f>
        <v>683.48303466562231</v>
      </c>
      <c r="AC34" s="13">
        <f>'energy tax mil euro'!AC34/POPULATION!AC35*1000000</f>
        <v>664.95505841930924</v>
      </c>
      <c r="AD34" s="13">
        <f>'energy tax mil euro'!AD34/POPULATION!AD35*1000000</f>
        <v>722.26274131164701</v>
      </c>
      <c r="AE34" s="13">
        <f>'energy tax mil euro'!AE34/POPULATION!AE35*1000000</f>
        <v>771.7981928944622</v>
      </c>
    </row>
    <row r="35" spans="1:31" ht="11.35" customHeight="1" x14ac:dyDescent="0.45">
      <c r="A35" s="5" t="s">
        <v>67</v>
      </c>
      <c r="B35" s="13">
        <f>'energy tax mil euro'!B35/POPULATION!B36*1000000</f>
        <v>58.457412120181317</v>
      </c>
      <c r="C35" s="13">
        <f>'energy tax mil euro'!C35/POPULATION!C36*1000000</f>
        <v>58.387157470765437</v>
      </c>
      <c r="D35" s="13">
        <f>'energy tax mil euro'!D35/POPULATION!D36*1000000</f>
        <v>63.860260735774311</v>
      </c>
      <c r="E35" s="13">
        <f>'energy tax mil euro'!E35/POPULATION!E36*1000000</f>
        <v>62.726791829461817</v>
      </c>
      <c r="F35" s="13">
        <f>'energy tax mil euro'!F35/POPULATION!F36*1000000</f>
        <v>63.29794551915662</v>
      </c>
      <c r="G35" s="13">
        <f>'energy tax mil euro'!G35/POPULATION!G36*1000000</f>
        <v>80.76823550746046</v>
      </c>
      <c r="H35" s="13">
        <f>'energy tax mil euro'!H35/POPULATION!H36*1000000</f>
        <v>75.368350052418918</v>
      </c>
      <c r="I35" s="13">
        <f>'energy tax mil euro'!I35/POPULATION!I36*1000000</f>
        <v>91.309625241055357</v>
      </c>
      <c r="J35" s="13">
        <f>'energy tax mil euro'!J35/POPULATION!J36*1000000</f>
        <v>118.12186073977934</v>
      </c>
      <c r="K35" s="13">
        <f>'energy tax mil euro'!K35/POPULATION!K36*1000000</f>
        <v>141.95229784758581</v>
      </c>
      <c r="L35" s="13">
        <f>'energy tax mil euro'!L35/POPULATION!L36*1000000</f>
        <v>152.71135382029655</v>
      </c>
      <c r="M35" s="13">
        <f>'energy tax mil euro'!M35/POPULATION!M36*1000000</f>
        <v>165.68247331808652</v>
      </c>
      <c r="N35" s="13">
        <f>'energy tax mil euro'!N35/POPULATION!N36*1000000</f>
        <v>187.13313159060371</v>
      </c>
      <c r="O35" s="13">
        <f>'energy tax mil euro'!O35/POPULATION!O36*1000000</f>
        <v>216.0707164200426</v>
      </c>
      <c r="P35" s="13">
        <f>'energy tax mil euro'!P35/POPULATION!P36*1000000</f>
        <v>199.50204379049424</v>
      </c>
      <c r="Q35" s="13">
        <f>'energy tax mil euro'!Q35/POPULATION!Q36*1000000</f>
        <v>227.97523750512485</v>
      </c>
      <c r="R35" s="13">
        <f>'energy tax mil euro'!R35/POPULATION!R36*1000000</f>
        <v>282.78447294604342</v>
      </c>
      <c r="S35" s="13">
        <f>'energy tax mil euro'!S35/POPULATION!S36*1000000</f>
        <v>285.63064895096926</v>
      </c>
      <c r="T35" s="13">
        <f>'energy tax mil euro'!T35/POPULATION!T36*1000000</f>
        <v>303.51686874264897</v>
      </c>
      <c r="U35" s="13">
        <f>'energy tax mil euro'!U35/POPULATION!U36*1000000</f>
        <v>312.73558890602555</v>
      </c>
      <c r="V35" s="13">
        <f>'energy tax mil euro'!V35/POPULATION!V36*1000000</f>
        <v>325.04455994255306</v>
      </c>
      <c r="W35" s="13">
        <f>'energy tax mil euro'!W35/POPULATION!W36*1000000</f>
        <v>326.87387168896691</v>
      </c>
      <c r="X35" s="13">
        <f>'energy tax mil euro'!X35/POPULATION!X36*1000000</f>
        <v>349.03960982775146</v>
      </c>
      <c r="Y35" s="13">
        <f>'energy tax mil euro'!Y35/POPULATION!Y36*1000000</f>
        <v>361.00986199091699</v>
      </c>
      <c r="Z35" s="13">
        <f>'energy tax mil euro'!Z35/POPULATION!Z36*1000000</f>
        <v>385.24547002882895</v>
      </c>
      <c r="AA35" s="13">
        <f>'energy tax mil euro'!AA35/POPULATION!AA36*1000000</f>
        <v>378.94249279893467</v>
      </c>
      <c r="AB35" s="13">
        <f>'energy tax mil euro'!AB35/POPULATION!AB36*1000000</f>
        <v>394.41142419448693</v>
      </c>
      <c r="AC35" s="13">
        <f>'energy tax mil euro'!AC35/POPULATION!AC36*1000000</f>
        <v>386.57614239724199</v>
      </c>
      <c r="AD35" s="13">
        <f>'energy tax mil euro'!AD35/POPULATION!AD36*1000000</f>
        <v>449.48121055291858</v>
      </c>
      <c r="AE35" s="13">
        <f>'energy tax mil euro'!AE35/POPULATION!AE36*1000000</f>
        <v>416.04796737581353</v>
      </c>
    </row>
    <row r="36" spans="1:31" ht="11.35" customHeight="1" x14ac:dyDescent="0.45">
      <c r="A36" s="5" t="s">
        <v>68</v>
      </c>
      <c r="B36" s="13">
        <f>'energy tax mil euro'!B36/POPULATION!B37*1000000</f>
        <v>418.76505514876771</v>
      </c>
      <c r="C36" s="13">
        <f>'energy tax mil euro'!C36/POPULATION!C37*1000000</f>
        <v>420.88200771337546</v>
      </c>
      <c r="D36" s="13">
        <f>'energy tax mil euro'!D36/POPULATION!D37*1000000</f>
        <v>489.15110515322505</v>
      </c>
      <c r="E36" s="13">
        <f>'energy tax mil euro'!E36/POPULATION!E37*1000000</f>
        <v>493.70656623438589</v>
      </c>
      <c r="F36" s="13">
        <f>'energy tax mil euro'!F36/POPULATION!F37*1000000</f>
        <v>525.03601991299399</v>
      </c>
      <c r="G36" s="13">
        <f>'energy tax mil euro'!G36/POPULATION!G37*1000000</f>
        <v>508.38260848041745</v>
      </c>
      <c r="H36" s="13">
        <f>'energy tax mil euro'!H36/POPULATION!H37*1000000</f>
        <v>525.36953918220308</v>
      </c>
      <c r="I36" s="13">
        <f>'energy tax mil euro'!I36/POPULATION!I37*1000000</f>
        <v>548.80737861991986</v>
      </c>
      <c r="J36" s="13">
        <f>'energy tax mil euro'!J36/POPULATION!J37*1000000</f>
        <v>553.56064149265455</v>
      </c>
      <c r="K36" s="13">
        <f>'energy tax mil euro'!K36/POPULATION!K37*1000000</f>
        <v>566.31259995723917</v>
      </c>
      <c r="L36" s="13">
        <f>'energy tax mil euro'!L36/POPULATION!L37*1000000</f>
        <v>558.94928991288452</v>
      </c>
      <c r="M36" s="13">
        <f>'energy tax mil euro'!M36/POPULATION!M37*1000000</f>
        <v>568.15803393726287</v>
      </c>
      <c r="N36" s="13">
        <f>'energy tax mil euro'!N36/POPULATION!N37*1000000</f>
        <v>561.11905445469972</v>
      </c>
      <c r="O36" s="13">
        <f>'energy tax mil euro'!O36/POPULATION!O37*1000000</f>
        <v>606.54838312878599</v>
      </c>
      <c r="P36" s="13">
        <f>'energy tax mil euro'!P36/POPULATION!P37*1000000</f>
        <v>582.39150001295457</v>
      </c>
      <c r="Q36" s="13">
        <f>'energy tax mil euro'!Q36/POPULATION!Q37*1000000</f>
        <v>602.08239783519423</v>
      </c>
      <c r="R36" s="13">
        <f>'energy tax mil euro'!R36/POPULATION!R37*1000000</f>
        <v>730.7531743486287</v>
      </c>
      <c r="S36" s="13">
        <f>'energy tax mil euro'!S36/POPULATION!S37*1000000</f>
        <v>741.86297400221099</v>
      </c>
      <c r="T36" s="13">
        <f>'energy tax mil euro'!T36/POPULATION!T37*1000000</f>
        <v>732.49286763863097</v>
      </c>
      <c r="U36" s="13">
        <f>'energy tax mil euro'!U36/POPULATION!U37*1000000</f>
        <v>733.95740809022482</v>
      </c>
      <c r="V36" s="13">
        <f>'energy tax mil euro'!V36/POPULATION!V37*1000000</f>
        <v>761.54753330422636</v>
      </c>
      <c r="W36" s="13">
        <f>'energy tax mil euro'!W36/POPULATION!W37*1000000</f>
        <v>829.550664916203</v>
      </c>
      <c r="X36" s="13">
        <f>'energy tax mil euro'!X36/POPULATION!X37*1000000</f>
        <v>809.33302345848313</v>
      </c>
      <c r="Y36" s="13">
        <f>'energy tax mil euro'!Y36/POPULATION!Y37*1000000</f>
        <v>828.02328259990247</v>
      </c>
      <c r="Z36" s="13">
        <f>'energy tax mil euro'!Z36/POPULATION!Z37*1000000</f>
        <v>835.8223453443228</v>
      </c>
      <c r="AA36" s="13">
        <f>'energy tax mil euro'!AA36/POPULATION!AA37*1000000</f>
        <v>819.14222813925494</v>
      </c>
      <c r="AB36" s="13">
        <f>'energy tax mil euro'!AB36/POPULATION!AB37*1000000</f>
        <v>824.57005529480421</v>
      </c>
      <c r="AC36" s="13">
        <f>'energy tax mil euro'!AC36/POPULATION!AC37*1000000</f>
        <v>877.39519606304043</v>
      </c>
      <c r="AD36" s="13">
        <f>'energy tax mil euro'!AD36/POPULATION!AD37*1000000</f>
        <v>838.43011374971468</v>
      </c>
      <c r="AE36" s="13">
        <f>'energy tax mil euro'!AE36/POPULATION!AE37*1000000</f>
        <v>818.72269623157365</v>
      </c>
    </row>
    <row r="37" spans="1:31" ht="11.35" customHeight="1" x14ac:dyDescent="0.45">
      <c r="A37" s="5" t="s">
        <v>69</v>
      </c>
      <c r="B37" s="13">
        <f>'energy tax mil euro'!B37/POPULATION!B38*1000000</f>
        <v>512.4120656763813</v>
      </c>
      <c r="C37" s="13">
        <f>'energy tax mil euro'!C37/POPULATION!C38*1000000</f>
        <v>644.13155038486013</v>
      </c>
      <c r="D37" s="13">
        <f>'energy tax mil euro'!D37/POPULATION!D38*1000000</f>
        <v>636.14569915152913</v>
      </c>
      <c r="E37" s="13">
        <f>'energy tax mil euro'!E37/POPULATION!E38*1000000</f>
        <v>657.82173182068641</v>
      </c>
      <c r="F37" s="13">
        <f>'energy tax mil euro'!F37/POPULATION!F38*1000000</f>
        <v>664.95322849112551</v>
      </c>
      <c r="G37" s="13">
        <f>'energy tax mil euro'!G37/POPULATION!G38*1000000</f>
        <v>699.05678837694973</v>
      </c>
      <c r="H37" s="13">
        <f>'energy tax mil euro'!H37/POPULATION!H38*1000000</f>
        <v>673.31532698277749</v>
      </c>
      <c r="I37" s="13">
        <f>'energy tax mil euro'!I37/POPULATION!I38*1000000</f>
        <v>723.87780263118896</v>
      </c>
      <c r="J37" s="13">
        <f>'energy tax mil euro'!J37/POPULATION!J38*1000000</f>
        <v>774.53911221248063</v>
      </c>
      <c r="K37" s="13">
        <f>'energy tax mil euro'!K37/POPULATION!K38*1000000</f>
        <v>799.21387484165518</v>
      </c>
      <c r="L37" s="13">
        <f>'energy tax mil euro'!L37/POPULATION!L38*1000000</f>
        <v>808.99710055893695</v>
      </c>
      <c r="M37" s="13">
        <f>'energy tax mil euro'!M37/POPULATION!M38*1000000</f>
        <v>822.9513806302383</v>
      </c>
      <c r="N37" s="13">
        <f>'energy tax mil euro'!N37/POPULATION!N38*1000000</f>
        <v>825.11554321358437</v>
      </c>
      <c r="O37" s="13">
        <f>'energy tax mil euro'!O37/POPULATION!O38*1000000</f>
        <v>818.54511094338443</v>
      </c>
      <c r="P37" s="13">
        <f>'energy tax mil euro'!P37/POPULATION!P38*1000000</f>
        <v>755.88458384284854</v>
      </c>
      <c r="Q37" s="13">
        <f>'energy tax mil euro'!Q37/POPULATION!Q38*1000000</f>
        <v>869.44079672126725</v>
      </c>
      <c r="R37" s="13">
        <f>'energy tax mil euro'!R37/POPULATION!R38*1000000</f>
        <v>867.87098391281677</v>
      </c>
      <c r="S37" s="13">
        <f>'energy tax mil euro'!S37/POPULATION!S38*1000000</f>
        <v>884.19257702453535</v>
      </c>
      <c r="T37" s="13">
        <f>'energy tax mil euro'!T37/POPULATION!T38*1000000</f>
        <v>861.38365090525826</v>
      </c>
      <c r="U37" s="13">
        <f>'energy tax mil euro'!U37/POPULATION!U38*1000000</f>
        <v>786.99710021831299</v>
      </c>
      <c r="V37" s="13">
        <f>'energy tax mil euro'!V37/POPULATION!V38*1000000</f>
        <v>786.32818851883405</v>
      </c>
      <c r="W37" s="13">
        <f>'energy tax mil euro'!W37/POPULATION!W38*1000000</f>
        <v>827.40594194487733</v>
      </c>
      <c r="X37" s="13">
        <f>'energy tax mil euro'!X37/POPULATION!X38*1000000</f>
        <v>790.21401673391097</v>
      </c>
      <c r="Y37" s="13">
        <f>'energy tax mil euro'!Y37/POPULATION!Y38*1000000</f>
        <v>742.19470245869604</v>
      </c>
      <c r="Z37" s="13">
        <f>'energy tax mil euro'!Z37/POPULATION!Z38*1000000</f>
        <v>724.14037478305625</v>
      </c>
      <c r="AA37" s="13">
        <f>'energy tax mil euro'!AA37/POPULATION!AA38*1000000</f>
        <v>697.79403498725594</v>
      </c>
      <c r="AB37" s="13">
        <f>'energy tax mil euro'!AB37/POPULATION!AB38*1000000</f>
        <v>736.46813198776988</v>
      </c>
      <c r="AC37" s="13">
        <f>'energy tax mil euro'!AC37/POPULATION!AC38*1000000</f>
        <v>774.9672178230951</v>
      </c>
      <c r="AD37" s="13">
        <f>'energy tax mil euro'!AD37/POPULATION!AD38*1000000</f>
        <v>809.34036752738859</v>
      </c>
      <c r="AE37" s="13">
        <f>'energy tax mil euro'!AE37/POPULATION!AE38*1000000</f>
        <v>622.22918054870172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01009-1E0B-455B-8FFB-796DEBC53E0A}">
  <sheetPr codeName="Sheet8">
    <tabColor theme="7"/>
  </sheetPr>
  <dimension ref="A1:AE37"/>
  <sheetViews>
    <sheetView workbookViewId="0">
      <pane xSplit="1" ySplit="9" topLeftCell="B10" activePane="bottomRight" state="frozen"/>
      <selection pane="topRight"/>
      <selection pane="bottomLeft"/>
      <selection pane="bottomRight" activeCell="B10" sqref="B10"/>
    </sheetView>
  </sheetViews>
  <sheetFormatPr defaultRowHeight="11.35" customHeight="1" x14ac:dyDescent="0.45"/>
  <cols>
    <col min="1" max="1" width="29.86328125" customWidth="1"/>
    <col min="2" max="31" width="9.9296875" customWidth="1"/>
  </cols>
  <sheetData>
    <row r="1" spans="1:31" ht="11.35" customHeight="1" x14ac:dyDescent="0.45">
      <c r="A1" s="2" t="s">
        <v>0</v>
      </c>
    </row>
    <row r="2" spans="1:31" ht="11.35" customHeight="1" x14ac:dyDescent="0.45">
      <c r="A2" s="2" t="s">
        <v>1</v>
      </c>
      <c r="B2" s="1" t="s">
        <v>2</v>
      </c>
    </row>
    <row r="3" spans="1:31" ht="11.35" customHeight="1" x14ac:dyDescent="0.45">
      <c r="A3" s="2" t="s">
        <v>3</v>
      </c>
      <c r="C3" s="2" t="s">
        <v>4</v>
      </c>
    </row>
    <row r="5" spans="1:31" ht="11.35" customHeight="1" x14ac:dyDescent="0.45">
      <c r="A5" s="1" t="s">
        <v>5</v>
      </c>
      <c r="C5" s="2" t="s">
        <v>6</v>
      </c>
    </row>
    <row r="6" spans="1:31" ht="11.35" customHeight="1" x14ac:dyDescent="0.45">
      <c r="A6" s="1" t="s">
        <v>7</v>
      </c>
      <c r="C6" s="2" t="s">
        <v>71</v>
      </c>
    </row>
    <row r="7" spans="1:31" ht="11.35" customHeight="1" x14ac:dyDescent="0.45">
      <c r="A7" s="1" t="s">
        <v>9</v>
      </c>
      <c r="C7" s="12" t="s">
        <v>80</v>
      </c>
    </row>
    <row r="9" spans="1:31" ht="11.35" customHeight="1" x14ac:dyDescent="0.45">
      <c r="A9" s="4" t="s">
        <v>11</v>
      </c>
      <c r="B9" s="3">
        <v>1995</v>
      </c>
      <c r="C9" s="3" t="s">
        <v>13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  <c r="J9" s="3" t="s">
        <v>20</v>
      </c>
      <c r="K9" s="3" t="s">
        <v>21</v>
      </c>
      <c r="L9" s="3" t="s">
        <v>22</v>
      </c>
      <c r="M9" s="3" t="s">
        <v>23</v>
      </c>
      <c r="N9" s="3" t="s">
        <v>24</v>
      </c>
      <c r="O9" s="3" t="s">
        <v>25</v>
      </c>
      <c r="P9" s="3" t="s">
        <v>26</v>
      </c>
      <c r="Q9" s="3" t="s">
        <v>27</v>
      </c>
      <c r="R9" s="3" t="s">
        <v>28</v>
      </c>
      <c r="S9" s="3" t="s">
        <v>29</v>
      </c>
      <c r="T9" s="3" t="s">
        <v>30</v>
      </c>
      <c r="U9" s="3" t="s">
        <v>31</v>
      </c>
      <c r="V9" s="3" t="s">
        <v>32</v>
      </c>
      <c r="W9" s="3" t="s">
        <v>33</v>
      </c>
      <c r="X9" s="3" t="s">
        <v>34</v>
      </c>
      <c r="Y9" s="3" t="s">
        <v>35</v>
      </c>
      <c r="Z9" s="3" t="s">
        <v>36</v>
      </c>
      <c r="AA9" s="3" t="s">
        <v>37</v>
      </c>
      <c r="AB9" s="3" t="s">
        <v>38</v>
      </c>
      <c r="AC9" s="3" t="s">
        <v>39</v>
      </c>
      <c r="AD9" s="3" t="s">
        <v>40</v>
      </c>
      <c r="AE9" s="3" t="s">
        <v>41</v>
      </c>
    </row>
    <row r="10" spans="1:31" ht="11.35" customHeight="1" x14ac:dyDescent="0.45">
      <c r="A10" s="5" t="s">
        <v>42</v>
      </c>
      <c r="B10" s="13">
        <f>'transport tax mil euro'!B10/POPULATION!B11*1000000</f>
        <v>77.542972431485808</v>
      </c>
      <c r="C10" s="13">
        <f>'transport tax mil euro'!C10/POPULATION!C11*1000000</f>
        <v>83.741403148448413</v>
      </c>
      <c r="D10" s="13">
        <f>'transport tax mil euro'!D10/POPULATION!D11*1000000</f>
        <v>83.475906096390091</v>
      </c>
      <c r="E10" s="13">
        <f>'transport tax mil euro'!E10/POPULATION!E11*1000000</f>
        <v>90.182915874902179</v>
      </c>
      <c r="F10" s="13">
        <f>'transport tax mil euro'!F10/POPULATION!F11*1000000</f>
        <v>95.274801216544176</v>
      </c>
      <c r="G10" s="13">
        <f>'transport tax mil euro'!G10/POPULATION!G11*1000000</f>
        <v>94.628042094164385</v>
      </c>
      <c r="H10" s="13">
        <f>'transport tax mil euro'!H10/POPULATION!H11*1000000</f>
        <v>97.320117880887295</v>
      </c>
      <c r="I10" s="13">
        <f>'transport tax mil euro'!I10/POPULATION!I11*1000000</f>
        <v>98.825931976453802</v>
      </c>
      <c r="J10" s="13">
        <f>'transport tax mil euro'!J10/POPULATION!J11*1000000</f>
        <v>100.50912940077504</v>
      </c>
      <c r="K10" s="13">
        <f>'transport tax mil euro'!K10/POPULATION!K11*1000000</f>
        <v>112.14615799515632</v>
      </c>
      <c r="L10" s="13">
        <f>'transport tax mil euro'!L10/POPULATION!L11*1000000</f>
        <v>119.81931468718096</v>
      </c>
      <c r="M10" s="13">
        <f>'transport tax mil euro'!M10/POPULATION!M11*1000000</f>
        <v>125.92947546818793</v>
      </c>
      <c r="N10" s="13">
        <f>'transport tax mil euro'!N10/POPULATION!N11*1000000</f>
        <v>132.16986701129153</v>
      </c>
      <c r="O10" s="13">
        <f>'transport tax mil euro'!O10/POPULATION!O11*1000000</f>
        <v>128.31028656272014</v>
      </c>
      <c r="P10" s="13">
        <f>'transport tax mil euro'!P10/POPULATION!P11*1000000</f>
        <v>115.73310752276028</v>
      </c>
      <c r="Q10" s="13">
        <f>'transport tax mil euro'!Q10/POPULATION!Q11*1000000</f>
        <v>118.10080397485936</v>
      </c>
      <c r="R10" s="13">
        <f>'transport tax mil euro'!R10/POPULATION!R11*1000000</f>
        <v>121.95010434379573</v>
      </c>
      <c r="S10" s="13">
        <f>'transport tax mil euro'!S10/POPULATION!S11*1000000</f>
        <v>121.25018125812659</v>
      </c>
      <c r="T10" s="13">
        <f>'transport tax mil euro'!T10/POPULATION!T11*1000000</f>
        <v>121.38902634407535</v>
      </c>
      <c r="U10" s="13">
        <f>'transport tax mil euro'!U10/POPULATION!U11*1000000</f>
        <v>123.60790371128707</v>
      </c>
      <c r="V10" s="13">
        <f>'transport tax mil euro'!V10/POPULATION!V11*1000000</f>
        <v>127.85565786648714</v>
      </c>
      <c r="W10" s="13">
        <f>'transport tax mil euro'!W10/POPULATION!W11*1000000</f>
        <v>131.65934625508206</v>
      </c>
      <c r="X10" s="13">
        <f>'transport tax mil euro'!X10/POPULATION!X11*1000000</f>
        <v>134.94253797144967</v>
      </c>
      <c r="Y10" s="13">
        <f>'transport tax mil euro'!Y10/POPULATION!Y11*1000000</f>
        <v>139.21740048699061</v>
      </c>
      <c r="Z10" s="13">
        <f>'transport tax mil euro'!Z10/POPULATION!Z11*1000000</f>
        <v>141.21374141487024</v>
      </c>
      <c r="AA10" s="13">
        <f>'transport tax mil euro'!AA10/POPULATION!AA11*1000000</f>
        <v>128.79128226071904</v>
      </c>
      <c r="AB10" s="13">
        <f>'transport tax mil euro'!AB10/POPULATION!AB11*1000000</f>
        <v>132.24698086591388</v>
      </c>
      <c r="AC10" s="13">
        <f>'transport tax mil euro'!AC10/POPULATION!AC11*1000000</f>
        <v>134.00351767356599</v>
      </c>
      <c r="AD10" s="13">
        <f>'transport tax mil euro'!AD10/POPULATION!AD11*1000000</f>
        <v>140.24664316928911</v>
      </c>
      <c r="AE10" s="13">
        <f>'transport tax mil euro'!AE10/POPULATION!AE11*1000000</f>
        <v>145.8774713859714</v>
      </c>
    </row>
    <row r="11" spans="1:31" ht="11.35" customHeight="1" x14ac:dyDescent="0.45">
      <c r="A11" s="5" t="s">
        <v>43</v>
      </c>
      <c r="B11" s="13">
        <f>'transport tax mil euro'!B11/POPULATION!B12*1000000</f>
        <v>163.26912966629533</v>
      </c>
      <c r="C11" s="13">
        <f>'transport tax mil euro'!C11/POPULATION!C12*1000000</f>
        <v>191.35275622798557</v>
      </c>
      <c r="D11" s="13">
        <f>'transport tax mil euro'!D11/POPULATION!D12*1000000</f>
        <v>190.98788955132366</v>
      </c>
      <c r="E11" s="13">
        <f>'transport tax mil euro'!E11/POPULATION!E12*1000000</f>
        <v>188.01122105942309</v>
      </c>
      <c r="F11" s="13">
        <f>'transport tax mil euro'!F11/POPULATION!F12*1000000</f>
        <v>211.48937236776456</v>
      </c>
      <c r="G11" s="13">
        <f>'transport tax mil euro'!G11/POPULATION!G12*1000000</f>
        <v>202.00047172183844</v>
      </c>
      <c r="H11" s="13">
        <f>'transport tax mil euro'!H11/POPULATION!H12*1000000</f>
        <v>216.56536509196644</v>
      </c>
      <c r="I11" s="13">
        <f>'transport tax mil euro'!I11/POPULATION!I12*1000000</f>
        <v>220.64604051029491</v>
      </c>
      <c r="J11" s="13">
        <f>'transport tax mil euro'!J11/POPULATION!J12*1000000</f>
        <v>227.86167887426652</v>
      </c>
      <c r="K11" s="13">
        <f>'transport tax mil euro'!K11/POPULATION!K12*1000000</f>
        <v>231.8682554313643</v>
      </c>
      <c r="L11" s="13">
        <f>'transport tax mil euro'!L11/POPULATION!L12*1000000</f>
        <v>242.10567026988321</v>
      </c>
      <c r="M11" s="13">
        <f>'transport tax mil euro'!M11/POPULATION!M12*1000000</f>
        <v>235.87764196943846</v>
      </c>
      <c r="N11" s="13">
        <f>'transport tax mil euro'!N11/POPULATION!N12*1000000</f>
        <v>244.19591830873233</v>
      </c>
      <c r="O11" s="13">
        <f>'transport tax mil euro'!O11/POPULATION!O12*1000000</f>
        <v>237.79243125394095</v>
      </c>
      <c r="P11" s="13">
        <f>'transport tax mil euro'!P11/POPULATION!P12*1000000</f>
        <v>243.48372745297161</v>
      </c>
      <c r="Q11" s="13">
        <f>'transport tax mil euro'!Q11/POPULATION!Q12*1000000</f>
        <v>245.60178341046347</v>
      </c>
      <c r="R11" s="13">
        <f>'transport tax mil euro'!R11/POPULATION!R12*1000000</f>
        <v>262.56658931963761</v>
      </c>
      <c r="S11" s="13">
        <f>'transport tax mil euro'!S11/POPULATION!S12*1000000</f>
        <v>252.72012025400397</v>
      </c>
      <c r="T11" s="13">
        <f>'transport tax mil euro'!T11/POPULATION!T12*1000000</f>
        <v>255.25288530930311</v>
      </c>
      <c r="U11" s="13">
        <f>'transport tax mil euro'!U11/POPULATION!U12*1000000</f>
        <v>250.05276884384358</v>
      </c>
      <c r="V11" s="13">
        <f>'transport tax mil euro'!V11/POPULATION!V12*1000000</f>
        <v>254.33214496683092</v>
      </c>
      <c r="W11" s="13">
        <f>'transport tax mil euro'!W11/POPULATION!W12*1000000</f>
        <v>249.8515398611826</v>
      </c>
      <c r="X11" s="13">
        <f>'transport tax mil euro'!X11/POPULATION!X12*1000000</f>
        <v>257.12387198881726</v>
      </c>
      <c r="Y11" s="13">
        <f>'transport tax mil euro'!Y11/POPULATION!Y12*1000000</f>
        <v>264.7696131512418</v>
      </c>
      <c r="Z11" s="13">
        <f>'transport tax mil euro'!Z11/POPULATION!Z12*1000000</f>
        <v>269.93975567584499</v>
      </c>
      <c r="AA11" s="13">
        <f>'transport tax mil euro'!AA11/POPULATION!AA12*1000000</f>
        <v>264.17147756898714</v>
      </c>
      <c r="AB11" s="13">
        <f>'transport tax mil euro'!AB11/POPULATION!AB12*1000000</f>
        <v>268.91065825905446</v>
      </c>
      <c r="AC11" s="13">
        <f>'transport tax mil euro'!AC11/POPULATION!AC12*1000000</f>
        <v>268.25625173066811</v>
      </c>
      <c r="AD11" s="13">
        <f>'transport tax mil euro'!AD11/POPULATION!AD12*1000000</f>
        <v>285.49418724467324</v>
      </c>
      <c r="AE11" s="13">
        <f>'transport tax mil euro'!AE11/POPULATION!AE12*1000000</f>
        <v>288.26033062606922</v>
      </c>
    </row>
    <row r="12" spans="1:31" ht="11.35" customHeight="1" x14ac:dyDescent="0.45">
      <c r="A12" s="5" t="s">
        <v>44</v>
      </c>
      <c r="B12" s="13">
        <f>'transport tax mil euro'!B12/POPULATION!B13*1000000</f>
        <v>1.9163639444489402</v>
      </c>
      <c r="C12" s="13">
        <f>'transport tax mil euro'!C12/POPULATION!C13*1000000</f>
        <v>1.0411802905644378</v>
      </c>
      <c r="D12" s="13">
        <f>'transport tax mil euro'!D12/POPULATION!D13*1000000</f>
        <v>0.20381405636010155</v>
      </c>
      <c r="E12" s="13">
        <f>'transport tax mil euro'!E12/POPULATION!E13*1000000</f>
        <v>1.6611937415491598</v>
      </c>
      <c r="F12" s="13">
        <f>'transport tax mil euro'!F12/POPULATION!F13*1000000</f>
        <v>2.4737645484024964</v>
      </c>
      <c r="G12" s="13">
        <f>'transport tax mil euro'!G12/POPULATION!G13*1000000</f>
        <v>2.8751503502189508</v>
      </c>
      <c r="H12" s="13">
        <f>'transport tax mil euro'!H12/POPULATION!H13*1000000</f>
        <v>2.8762613706808837</v>
      </c>
      <c r="I12" s="13">
        <f>'transport tax mil euro'!I12/POPULATION!I13*1000000</f>
        <v>3.9078311029043133</v>
      </c>
      <c r="J12" s="13">
        <f>'transport tax mil euro'!J12/POPULATION!J13*1000000</f>
        <v>5.1335557233573326</v>
      </c>
      <c r="K12" s="13">
        <f>'transport tax mil euro'!K12/POPULATION!K13*1000000</f>
        <v>5.4821425597215914</v>
      </c>
      <c r="L12" s="13">
        <f>'transport tax mil euro'!L12/POPULATION!L13*1000000</f>
        <v>6.452432720610183</v>
      </c>
      <c r="M12" s="13">
        <f>'transport tax mil euro'!M12/POPULATION!M13*1000000</f>
        <v>9.3218693913299031</v>
      </c>
      <c r="N12" s="13">
        <f>'transport tax mil euro'!N12/POPULATION!N13*1000000</f>
        <v>11.83597918462873</v>
      </c>
      <c r="O12" s="13">
        <f>'transport tax mil euro'!O12/POPULATION!O13*1000000</f>
        <v>15.218139074716927</v>
      </c>
      <c r="P12" s="13">
        <f>'transport tax mil euro'!P12/POPULATION!P13*1000000</f>
        <v>13.550071988942458</v>
      </c>
      <c r="Q12" s="13">
        <f>'transport tax mil euro'!Q12/POPULATION!Q13*1000000</f>
        <v>12.917410761805211</v>
      </c>
      <c r="R12" s="13">
        <f>'transport tax mil euro'!R12/POPULATION!R13*1000000</f>
        <v>12.220753542573368</v>
      </c>
      <c r="S12" s="13">
        <f>'transport tax mil euro'!S12/POPULATION!S13*1000000</f>
        <v>14.085825682413965</v>
      </c>
      <c r="T12" s="13">
        <f>'transport tax mil euro'!T12/POPULATION!T13*1000000</f>
        <v>15.898522691111323</v>
      </c>
      <c r="U12" s="13">
        <f>'transport tax mil euro'!U12/POPULATION!U13*1000000</f>
        <v>17.05806838485621</v>
      </c>
      <c r="V12" s="13">
        <f>'transport tax mil euro'!V12/POPULATION!V13*1000000</f>
        <v>18.32797747838098</v>
      </c>
      <c r="W12" s="13">
        <f>'transport tax mil euro'!W12/POPULATION!W13*1000000</f>
        <v>21.777669465101759</v>
      </c>
      <c r="X12" s="13">
        <f>'transport tax mil euro'!X12/POPULATION!X13*1000000</f>
        <v>22.884821968494716</v>
      </c>
      <c r="Y12" s="13">
        <f>'transport tax mil euro'!Y12/POPULATION!Y13*1000000</f>
        <v>25.787956287445883</v>
      </c>
      <c r="Z12" s="13">
        <f>'transport tax mil euro'!Z12/POPULATION!Z13*1000000</f>
        <v>27.095618858862842</v>
      </c>
      <c r="AA12" s="13">
        <f>'transport tax mil euro'!AA12/POPULATION!AA13*1000000</f>
        <v>28.992544839422919</v>
      </c>
      <c r="AB12" s="13">
        <f>'transport tax mil euro'!AB12/POPULATION!AB13*1000000</f>
        <v>31.790612446164079</v>
      </c>
      <c r="AC12" s="13">
        <f>'transport tax mil euro'!AC12/POPULATION!AC13*1000000</f>
        <v>32.501430007386055</v>
      </c>
      <c r="AD12" s="13">
        <f>'transport tax mil euro'!AD12/POPULATION!AD13*1000000</f>
        <v>34.16872036738625</v>
      </c>
      <c r="AE12" s="13">
        <f>'transport tax mil euro'!AE12/POPULATION!AE13*1000000</f>
        <v>36.136946179811872</v>
      </c>
    </row>
    <row r="13" spans="1:31" ht="11.35" customHeight="1" x14ac:dyDescent="0.45">
      <c r="A13" s="5" t="s">
        <v>45</v>
      </c>
      <c r="B13" s="13">
        <f>'transport tax mil euro'!B13/POPULATION!B14*1000000</f>
        <v>13.7286160546613</v>
      </c>
      <c r="C13" s="13">
        <f>'transport tax mil euro'!C13/POPULATION!C14*1000000</f>
        <v>15.200539774665003</v>
      </c>
      <c r="D13" s="13">
        <f>'transport tax mil euro'!D13/POPULATION!D14*1000000</f>
        <v>10.702156737271025</v>
      </c>
      <c r="E13" s="13">
        <f>'transport tax mil euro'!E13/POPULATION!E14*1000000</f>
        <v>12.155401551102642</v>
      </c>
      <c r="F13" s="13">
        <f>'transport tax mil euro'!F13/POPULATION!F14*1000000</f>
        <v>14.54475339762271</v>
      </c>
      <c r="G13" s="13">
        <f>'transport tax mil euro'!G13/POPULATION!G14*1000000</f>
        <v>15.195418451935369</v>
      </c>
      <c r="H13" s="13">
        <f>'transport tax mil euro'!H13/POPULATION!H14*1000000</f>
        <v>15.643039253121596</v>
      </c>
      <c r="I13" s="13">
        <f>'transport tax mil euro'!I13/POPULATION!I14*1000000</f>
        <v>18.116528065081088</v>
      </c>
      <c r="J13" s="13">
        <f>'transport tax mil euro'!J13/POPULATION!J14*1000000</f>
        <v>17.917815084184692</v>
      </c>
      <c r="K13" s="13">
        <f>'transport tax mil euro'!K13/POPULATION!K14*1000000</f>
        <v>17.149980280219985</v>
      </c>
      <c r="L13" s="13">
        <f>'transport tax mil euro'!L13/POPULATION!L14*1000000</f>
        <v>17.943190681699072</v>
      </c>
      <c r="M13" s="13">
        <f>'transport tax mil euro'!M13/POPULATION!M14*1000000</f>
        <v>20.520215184959238</v>
      </c>
      <c r="N13" s="13">
        <f>'transport tax mil euro'!N13/POPULATION!N14*1000000</f>
        <v>22.06405881356509</v>
      </c>
      <c r="O13" s="13">
        <f>'transport tax mil euro'!O13/POPULATION!O14*1000000</f>
        <v>24.001727861436958</v>
      </c>
      <c r="P13" s="13">
        <f>'transport tax mil euro'!P13/POPULATION!P14*1000000</f>
        <v>19.056602271503255</v>
      </c>
      <c r="Q13" s="13">
        <f>'transport tax mil euro'!Q13/POPULATION!Q14*1000000</f>
        <v>20.519804459683382</v>
      </c>
      <c r="R13" s="13">
        <f>'transport tax mil euro'!R13/POPULATION!R14*1000000</f>
        <v>21.561533331979241</v>
      </c>
      <c r="S13" s="13">
        <f>'transport tax mil euro'!S13/POPULATION!S14*1000000</f>
        <v>20.877744826611345</v>
      </c>
      <c r="T13" s="13">
        <f>'transport tax mil euro'!T13/POPULATION!T14*1000000</f>
        <v>20.544639779386419</v>
      </c>
      <c r="U13" s="13">
        <f>'transport tax mil euro'!U13/POPULATION!U14*1000000</f>
        <v>20.406340348496382</v>
      </c>
      <c r="V13" s="13">
        <f>'transport tax mil euro'!V13/POPULATION!V14*1000000</f>
        <v>21.70943536774282</v>
      </c>
      <c r="W13" s="13">
        <f>'transport tax mil euro'!W13/POPULATION!W14*1000000</f>
        <v>22.480910508143811</v>
      </c>
      <c r="X13" s="13">
        <f>'transport tax mil euro'!X13/POPULATION!X14*1000000</f>
        <v>23.921382536048444</v>
      </c>
      <c r="Y13" s="13">
        <f>'transport tax mil euro'!Y13/POPULATION!Y14*1000000</f>
        <v>24.765187362365229</v>
      </c>
      <c r="Z13" s="13">
        <f>'transport tax mil euro'!Z13/POPULATION!Z14*1000000</f>
        <v>25.294371725290617</v>
      </c>
      <c r="AA13" s="13">
        <f>'transport tax mil euro'!AA13/POPULATION!AA14*1000000</f>
        <v>22.208841849574792</v>
      </c>
      <c r="AB13" s="13">
        <f>'transport tax mil euro'!AB13/POPULATION!AB14*1000000</f>
        <v>21.621109658121384</v>
      </c>
      <c r="AC13" s="13">
        <f>'transport tax mil euro'!AC13/POPULATION!AC14*1000000</f>
        <v>5.5350025440472956</v>
      </c>
      <c r="AD13" s="13">
        <f>'transport tax mil euro'!AD13/POPULATION!AD14*1000000</f>
        <v>5.3290090472165899</v>
      </c>
      <c r="AE13" s="13">
        <f>'transport tax mil euro'!AE13/POPULATION!AE14*1000000</f>
        <v>5.7409920871001523</v>
      </c>
    </row>
    <row r="14" spans="1:31" ht="11.35" customHeight="1" x14ac:dyDescent="0.45">
      <c r="A14" s="5" t="s">
        <v>46</v>
      </c>
      <c r="B14" s="13">
        <f>'transport tax mil euro'!B14/POPULATION!B15*1000000</f>
        <v>544.86074592222963</v>
      </c>
      <c r="C14" s="13">
        <f>'transport tax mil euro'!C14/POPULATION!C15*1000000</f>
        <v>570.27130121402922</v>
      </c>
      <c r="D14" s="13">
        <f>'transport tax mil euro'!D14/POPULATION!D15*1000000</f>
        <v>598.96256408146849</v>
      </c>
      <c r="E14" s="13">
        <f>'transport tax mil euro'!E14/POPULATION!E15*1000000</f>
        <v>657.8870829445915</v>
      </c>
      <c r="F14" s="13">
        <f>'transport tax mil euro'!F14/POPULATION!F15*1000000</f>
        <v>648.65532201754104</v>
      </c>
      <c r="G14" s="13">
        <f>'transport tax mil euro'!G14/POPULATION!G15*1000000</f>
        <v>587.19479476624861</v>
      </c>
      <c r="H14" s="13">
        <f>'transport tax mil euro'!H14/POPULATION!H15*1000000</f>
        <v>560.59658880597738</v>
      </c>
      <c r="I14" s="13">
        <f>'transport tax mil euro'!I14/POPULATION!I15*1000000</f>
        <v>636.82834626777594</v>
      </c>
      <c r="J14" s="13">
        <f>'transport tax mil euro'!J14/POPULATION!J15*1000000</f>
        <v>602.24311029966145</v>
      </c>
      <c r="K14" s="13">
        <f>'transport tax mil euro'!K14/POPULATION!K15*1000000</f>
        <v>718.11013702284708</v>
      </c>
      <c r="L14" s="13">
        <f>'transport tax mil euro'!L14/POPULATION!L15*1000000</f>
        <v>828.69236362829986</v>
      </c>
      <c r="M14" s="13">
        <f>'transport tax mil euro'!M14/POPULATION!M15*1000000</f>
        <v>894.73177042885072</v>
      </c>
      <c r="N14" s="13">
        <f>'transport tax mil euro'!N14/POPULATION!N15*1000000</f>
        <v>905.95261611533817</v>
      </c>
      <c r="O14" s="13">
        <f>'transport tax mil euro'!O14/POPULATION!O15*1000000</f>
        <v>774.91818077059554</v>
      </c>
      <c r="P14" s="13">
        <f>'transport tax mil euro'!P14/POPULATION!P15*1000000</f>
        <v>594.13392226475389</v>
      </c>
      <c r="Q14" s="13">
        <f>'transport tax mil euro'!Q14/POPULATION!Q15*1000000</f>
        <v>636.01926595260693</v>
      </c>
      <c r="R14" s="13">
        <f>'transport tax mil euro'!R14/POPULATION!R15*1000000</f>
        <v>627.19534556168833</v>
      </c>
      <c r="S14" s="13">
        <f>'transport tax mil euro'!S14/POPULATION!S15*1000000</f>
        <v>614.790818626808</v>
      </c>
      <c r="T14" s="13">
        <f>'transport tax mil euro'!T14/POPULATION!T15*1000000</f>
        <v>680.21471352372487</v>
      </c>
      <c r="U14" s="13">
        <f>'transport tax mil euro'!U14/POPULATION!U15*1000000</f>
        <v>690.46698778352072</v>
      </c>
      <c r="V14" s="13">
        <f>'transport tax mil euro'!V14/POPULATION!V15*1000000</f>
        <v>741.89248045175407</v>
      </c>
      <c r="W14" s="13">
        <f>'transport tax mil euro'!W14/POPULATION!W15*1000000</f>
        <v>766.59148160822076</v>
      </c>
      <c r="X14" s="13">
        <f>'transport tax mil euro'!X14/POPULATION!X15*1000000</f>
        <v>768.90896120543368</v>
      </c>
      <c r="Y14" s="13">
        <f>'transport tax mil euro'!Y14/POPULATION!Y15*1000000</f>
        <v>780.80983326962098</v>
      </c>
      <c r="Z14" s="13">
        <f>'transport tax mil euro'!Z14/POPULATION!Z15*1000000</f>
        <v>764.90493329321453</v>
      </c>
      <c r="AA14" s="13">
        <f>'transport tax mil euro'!AA14/POPULATION!AA15*1000000</f>
        <v>722.68783737205172</v>
      </c>
      <c r="AB14" s="13">
        <f>'transport tax mil euro'!AB14/POPULATION!AB15*1000000</f>
        <v>673.71056216176419</v>
      </c>
      <c r="AC14" s="13">
        <f>'transport tax mil euro'!AC14/POPULATION!AC15*1000000</f>
        <v>558.15010675211374</v>
      </c>
      <c r="AD14" s="13">
        <f>'transport tax mil euro'!AD14/POPULATION!AD15*1000000</f>
        <v>532.19014626506112</v>
      </c>
      <c r="AE14" s="13">
        <f>'transport tax mil euro'!AE14/POPULATION!AE15*1000000</f>
        <v>445.37478639124112</v>
      </c>
    </row>
    <row r="15" spans="1:31" ht="11.35" customHeight="1" x14ac:dyDescent="0.45">
      <c r="A15" s="5" t="s">
        <v>47</v>
      </c>
      <c r="B15" s="13">
        <f>'transport tax mil euro'!B15/POPULATION!B16*1000000</f>
        <v>90.24964531217195</v>
      </c>
      <c r="C15" s="13">
        <f>'transport tax mil euro'!C15/POPULATION!C16*1000000</f>
        <v>87.880588967893047</v>
      </c>
      <c r="D15" s="13">
        <f>'transport tax mil euro'!D15/POPULATION!D16*1000000</f>
        <v>89.352357275985469</v>
      </c>
      <c r="E15" s="13">
        <f>'transport tax mil euro'!E15/POPULATION!E16*1000000</f>
        <v>93.808260680614708</v>
      </c>
      <c r="F15" s="13">
        <f>'transport tax mil euro'!F15/POPULATION!F16*1000000</f>
        <v>85.814925655933507</v>
      </c>
      <c r="G15" s="13">
        <f>'transport tax mil euro'!G15/POPULATION!G16*1000000</f>
        <v>85.317715688144887</v>
      </c>
      <c r="H15" s="13">
        <f>'transport tax mil euro'!H15/POPULATION!H16*1000000</f>
        <v>101.87268248764823</v>
      </c>
      <c r="I15" s="13">
        <f>'transport tax mil euro'!I15/POPULATION!I16*1000000</f>
        <v>92.187912590186926</v>
      </c>
      <c r="J15" s="13">
        <f>'transport tax mil euro'!J15/POPULATION!J16*1000000</f>
        <v>88.930158082442858</v>
      </c>
      <c r="K15" s="13">
        <f>'transport tax mil euro'!K15/POPULATION!K16*1000000</f>
        <v>93.782179691963336</v>
      </c>
      <c r="L15" s="13">
        <f>'transport tax mil euro'!L15/POPULATION!L16*1000000</f>
        <v>105.21103849488871</v>
      </c>
      <c r="M15" s="13">
        <f>'transport tax mil euro'!M15/POPULATION!M16*1000000</f>
        <v>108.44514110271604</v>
      </c>
      <c r="N15" s="13">
        <f>'transport tax mil euro'!N15/POPULATION!N16*1000000</f>
        <v>108.24284972153161</v>
      </c>
      <c r="O15" s="13">
        <f>'transport tax mil euro'!O15/POPULATION!O16*1000000</f>
        <v>107.51924792183476</v>
      </c>
      <c r="P15" s="13">
        <f>'transport tax mil euro'!P15/POPULATION!P16*1000000</f>
        <v>99.99712691181702</v>
      </c>
      <c r="Q15" s="13">
        <f>'transport tax mil euro'!Q15/POPULATION!Q16*1000000</f>
        <v>103.75019359184674</v>
      </c>
      <c r="R15" s="13">
        <f>'transport tax mil euro'!R15/POPULATION!R16*1000000</f>
        <v>116.93790230904678</v>
      </c>
      <c r="S15" s="13">
        <f>'transport tax mil euro'!S15/POPULATION!S16*1000000</f>
        <v>116.98301586372854</v>
      </c>
      <c r="T15" s="13">
        <f>'transport tax mil euro'!T15/POPULATION!T16*1000000</f>
        <v>117.29459282731332</v>
      </c>
      <c r="U15" s="13">
        <f>'transport tax mil euro'!U15/POPULATION!U16*1000000</f>
        <v>117.49780973063373</v>
      </c>
      <c r="V15" s="13">
        <f>'transport tax mil euro'!V15/POPULATION!V16*1000000</f>
        <v>121.09973237242406</v>
      </c>
      <c r="W15" s="13">
        <f>'transport tax mil euro'!W15/POPULATION!W16*1000000</f>
        <v>122.01906344947491</v>
      </c>
      <c r="X15" s="13">
        <f>'transport tax mil euro'!X15/POPULATION!X16*1000000</f>
        <v>121.96798820789498</v>
      </c>
      <c r="Y15" s="13">
        <f>'transport tax mil euro'!Y15/POPULATION!Y16*1000000</f>
        <v>123.79162901171874</v>
      </c>
      <c r="Z15" s="13">
        <f>'transport tax mil euro'!Z15/POPULATION!Z16*1000000</f>
        <v>126.93447238532602</v>
      </c>
      <c r="AA15" s="13">
        <f>'transport tax mil euro'!AA15/POPULATION!AA16*1000000</f>
        <v>118.7494356966936</v>
      </c>
      <c r="AB15" s="13">
        <f>'transport tax mil euro'!AB15/POPULATION!AB16*1000000</f>
        <v>121.29151872963645</v>
      </c>
      <c r="AC15" s="13">
        <f>'transport tax mil euro'!AC15/POPULATION!AC16*1000000</f>
        <v>128.15195296752444</v>
      </c>
      <c r="AD15" s="13">
        <f>'transport tax mil euro'!AD15/POPULATION!AD16*1000000</f>
        <v>132.62991833791611</v>
      </c>
      <c r="AE15" s="13">
        <f>'transport tax mil euro'!AE15/POPULATION!AE16*1000000</f>
        <v>138.33629427323089</v>
      </c>
    </row>
    <row r="16" spans="1:31" ht="11.35" customHeight="1" x14ac:dyDescent="0.45">
      <c r="A16" s="5" t="s">
        <v>48</v>
      </c>
      <c r="B16" s="13">
        <f>'transport tax mil euro'!B16/POPULATION!B17*1000000</f>
        <v>3.8741087305560828</v>
      </c>
      <c r="C16" s="13">
        <f>'transport tax mil euro'!C16/POPULATION!C17*1000000</f>
        <v>6.3780880049845914</v>
      </c>
      <c r="D16" s="13">
        <f>'transport tax mil euro'!D16/POPULATION!D17*1000000</f>
        <v>5.9388504661464188</v>
      </c>
      <c r="E16" s="13">
        <f>'transport tax mil euro'!E16/POPULATION!E17*1000000</f>
        <v>6.0800790194921452</v>
      </c>
      <c r="F16" s="13">
        <f>'transport tax mil euro'!F16/POPULATION!F17*1000000</f>
        <v>7.4823978765070835</v>
      </c>
      <c r="G16" s="13">
        <f>'transport tax mil euro'!G16/POPULATION!G17*1000000</f>
        <v>9.3131132917038375</v>
      </c>
      <c r="H16" s="13">
        <f>'transport tax mil euro'!H16/POPULATION!H17*1000000</f>
        <v>10.475903268424377</v>
      </c>
      <c r="I16" s="13">
        <f>'transport tax mil euro'!I16/POPULATION!I17*1000000</f>
        <v>11.145564542359651</v>
      </c>
      <c r="J16" s="13">
        <f>'transport tax mil euro'!J16/POPULATION!J17*1000000</f>
        <v>2.7632545321010187</v>
      </c>
      <c r="K16" s="13">
        <f>'transport tax mil euro'!K16/POPULATION!K17*1000000</f>
        <v>5.2040256175663311</v>
      </c>
      <c r="L16" s="13">
        <f>'transport tax mil euro'!L16/POPULATION!L17*1000000</f>
        <v>5.8210987231850462</v>
      </c>
      <c r="M16" s="13">
        <f>'transport tax mil euro'!M16/POPULATION!M17*1000000</f>
        <v>6.8927222921448141</v>
      </c>
      <c r="N16" s="13">
        <f>'transport tax mil euro'!N16/POPULATION!N17*1000000</f>
        <v>7.0666904953385163</v>
      </c>
      <c r="O16" s="13">
        <f>'transport tax mil euro'!O16/POPULATION!O17*1000000</f>
        <v>5.5811242939541552</v>
      </c>
      <c r="P16" s="13">
        <f>'transport tax mil euro'!P16/POPULATION!P17*1000000</f>
        <v>4.8063245841256537</v>
      </c>
      <c r="Q16" s="13">
        <f>'transport tax mil euro'!Q16/POPULATION!Q17*1000000</f>
        <v>5.5876815996519893</v>
      </c>
      <c r="R16" s="13">
        <f>'transport tax mil euro'!R16/POPULATION!R17*1000000</f>
        <v>7.4003880691304547</v>
      </c>
      <c r="S16" s="13">
        <f>'transport tax mil euro'!S16/POPULATION!S17*1000000</f>
        <v>8.1420627716064615</v>
      </c>
      <c r="T16" s="13">
        <f>'transport tax mil euro'!T16/POPULATION!T17*1000000</f>
        <v>8.286786438757316</v>
      </c>
      <c r="U16" s="13">
        <f>'transport tax mil euro'!U16/POPULATION!U17*1000000</f>
        <v>8.595407119064248</v>
      </c>
      <c r="V16" s="13">
        <f>'transport tax mil euro'!V16/POPULATION!V17*1000000</f>
        <v>9.248062546107219</v>
      </c>
      <c r="W16" s="13">
        <f>'transport tax mil euro'!W16/POPULATION!W17*1000000</f>
        <v>9.5216817736924959</v>
      </c>
      <c r="X16" s="13">
        <f>'transport tax mil euro'!X16/POPULATION!X17*1000000</f>
        <v>9.9191645099134647</v>
      </c>
      <c r="Y16" s="13">
        <f>'transport tax mil euro'!Y16/POPULATION!Y17*1000000</f>
        <v>10.036895445720788</v>
      </c>
      <c r="Z16" s="13">
        <f>'transport tax mil euro'!Z16/POPULATION!Z17*1000000</f>
        <v>10.09193701785903</v>
      </c>
      <c r="AA16" s="13">
        <f>'transport tax mil euro'!AA16/POPULATION!AA17*1000000</f>
        <v>8.3522953010438119</v>
      </c>
      <c r="AB16" s="13">
        <f>'transport tax mil euro'!AB16/POPULATION!AB17*1000000</f>
        <v>9.5258287546200648</v>
      </c>
      <c r="AC16" s="13">
        <f>'transport tax mil euro'!AC16/POPULATION!AC17*1000000</f>
        <v>9.5585209746838107</v>
      </c>
      <c r="AD16" s="13">
        <f>'transport tax mil euro'!AD16/POPULATION!AD17*1000000</f>
        <v>8.9392657063118097</v>
      </c>
      <c r="AE16" s="13">
        <f>'transport tax mil euro'!AE16/POPULATION!AE17*1000000</f>
        <v>9.0347839180846261</v>
      </c>
    </row>
    <row r="17" spans="1:31" ht="11.35" customHeight="1" x14ac:dyDescent="0.45">
      <c r="A17" s="5" t="s">
        <v>49</v>
      </c>
      <c r="B17" s="13">
        <f>'transport tax mil euro'!B17/POPULATION!B18*1000000</f>
        <v>188.30520313863315</v>
      </c>
      <c r="C17" s="13">
        <f>'transport tax mil euro'!C17/POPULATION!C18*1000000</f>
        <v>223.91034415127908</v>
      </c>
      <c r="D17" s="13">
        <f>'transport tax mil euro'!D17/POPULATION!D18*1000000</f>
        <v>260.67899604783094</v>
      </c>
      <c r="E17" s="13">
        <f>'transport tax mil euro'!E17/POPULATION!E18*1000000</f>
        <v>285.07986979969058</v>
      </c>
      <c r="F17" s="13">
        <f>'transport tax mil euro'!F17/POPULATION!F18*1000000</f>
        <v>340.6237824912393</v>
      </c>
      <c r="G17" s="13">
        <f>'transport tax mil euro'!G17/POPULATION!G18*1000000</f>
        <v>392.76094521206119</v>
      </c>
      <c r="H17" s="13">
        <f>'transport tax mil euro'!H17/POPULATION!H18*1000000</f>
        <v>350.29898640230869</v>
      </c>
      <c r="I17" s="13">
        <f>'transport tax mil euro'!I17/POPULATION!I18*1000000</f>
        <v>355.83231744374314</v>
      </c>
      <c r="J17" s="13">
        <f>'transport tax mil euro'!J17/POPULATION!J18*1000000</f>
        <v>376.86377876343499</v>
      </c>
      <c r="K17" s="13">
        <f>'transport tax mil euro'!K17/POPULATION!K18*1000000</f>
        <v>423.95462130518104</v>
      </c>
      <c r="L17" s="13">
        <f>'transport tax mil euro'!L17/POPULATION!L18*1000000</f>
        <v>476.88142439377458</v>
      </c>
      <c r="M17" s="13">
        <f>'transport tax mil euro'!M17/POPULATION!M18*1000000</f>
        <v>519.4341654634477</v>
      </c>
      <c r="N17" s="13">
        <f>'transport tax mil euro'!N17/POPULATION!N18*1000000</f>
        <v>579.65244262944009</v>
      </c>
      <c r="O17" s="13">
        <f>'transport tax mil euro'!O17/POPULATION!O18*1000000</f>
        <v>449.22062962044885</v>
      </c>
      <c r="P17" s="13">
        <f>'transport tax mil euro'!P17/POPULATION!P18*1000000</f>
        <v>336.78424142319437</v>
      </c>
      <c r="Q17" s="13">
        <f>'transport tax mil euro'!Q17/POPULATION!Q18*1000000</f>
        <v>334.55634422613127</v>
      </c>
      <c r="R17" s="13">
        <f>'transport tax mil euro'!R17/POPULATION!R18*1000000</f>
        <v>316.96734174440331</v>
      </c>
      <c r="S17" s="13">
        <f>'transport tax mil euro'!S17/POPULATION!S18*1000000</f>
        <v>320.76660274243034</v>
      </c>
      <c r="T17" s="13">
        <f>'transport tax mil euro'!T17/POPULATION!T18*1000000</f>
        <v>361.00646039647455</v>
      </c>
      <c r="U17" s="13">
        <f>'transport tax mil euro'!U17/POPULATION!U18*1000000</f>
        <v>387.28057730173367</v>
      </c>
      <c r="V17" s="13">
        <f>'transport tax mil euro'!V17/POPULATION!V18*1000000</f>
        <v>403.43960730515715</v>
      </c>
      <c r="W17" s="13">
        <f>'transport tax mil euro'!W17/POPULATION!W18*1000000</f>
        <v>407.07439202790522</v>
      </c>
      <c r="X17" s="13">
        <f>'transport tax mil euro'!X17/POPULATION!X18*1000000</f>
        <v>401.90600140816395</v>
      </c>
      <c r="Y17" s="13">
        <f>'transport tax mil euro'!Y17/POPULATION!Y18*1000000</f>
        <v>394.81371813483156</v>
      </c>
      <c r="Z17" s="13">
        <f>'transport tax mil euro'!Z17/POPULATION!Z18*1000000</f>
        <v>402.15079576974</v>
      </c>
      <c r="AA17" s="13">
        <f>'transport tax mil euro'!AA17/POPULATION!AA18*1000000</f>
        <v>340.77325140645576</v>
      </c>
      <c r="AB17" s="13">
        <f>'transport tax mil euro'!AB17/POPULATION!AB18*1000000</f>
        <v>342.84915825141763</v>
      </c>
      <c r="AC17" s="13">
        <f>'transport tax mil euro'!AC17/POPULATION!AC18*1000000</f>
        <v>341.78799470808423</v>
      </c>
      <c r="AD17" s="13">
        <f>'transport tax mil euro'!AD17/POPULATION!AD18*1000000</f>
        <v>358.95621557481462</v>
      </c>
      <c r="AE17" s="13">
        <f>'transport tax mil euro'!AE17/POPULATION!AE18*1000000</f>
        <v>373.63960968525589</v>
      </c>
    </row>
    <row r="18" spans="1:31" ht="11.35" customHeight="1" x14ac:dyDescent="0.45">
      <c r="A18" s="5" t="s">
        <v>50</v>
      </c>
      <c r="B18" s="13">
        <f>'transport tax mil euro'!B18/POPULATION!B19*1000000</f>
        <v>78.66857669434043</v>
      </c>
      <c r="C18" s="13">
        <f>'transport tax mil euro'!C18/POPULATION!C19*1000000</f>
        <v>91.948382426996062</v>
      </c>
      <c r="D18" s="13">
        <f>'transport tax mil euro'!D18/POPULATION!D19*1000000</f>
        <v>97.824243195697306</v>
      </c>
      <c r="E18" s="13">
        <f>'transport tax mil euro'!E18/POPULATION!E19*1000000</f>
        <v>110.89893156898043</v>
      </c>
      <c r="F18" s="13">
        <f>'transport tax mil euro'!F18/POPULATION!F19*1000000</f>
        <v>117.37227673690016</v>
      </c>
      <c r="G18" s="13">
        <f>'transport tax mil euro'!G18/POPULATION!G19*1000000</f>
        <v>106.71304788111171</v>
      </c>
      <c r="H18" s="13">
        <f>'transport tax mil euro'!H18/POPULATION!H19*1000000</f>
        <v>112.40321487960166</v>
      </c>
      <c r="I18" s="13">
        <f>'transport tax mil euro'!I18/POPULATION!I19*1000000</f>
        <v>135.92604300736738</v>
      </c>
      <c r="J18" s="13">
        <f>'transport tax mil euro'!J18/POPULATION!J19*1000000</f>
        <v>135.03399210500038</v>
      </c>
      <c r="K18" s="13">
        <f>'transport tax mil euro'!K18/POPULATION!K19*1000000</f>
        <v>154.65657511186322</v>
      </c>
      <c r="L18" s="13">
        <f>'transport tax mil euro'!L18/POPULATION!L19*1000000</f>
        <v>154.60470421275943</v>
      </c>
      <c r="M18" s="13">
        <f>'transport tax mil euro'!M18/POPULATION!M19*1000000</f>
        <v>162.65753700504402</v>
      </c>
      <c r="N18" s="13">
        <f>'transport tax mil euro'!N18/POPULATION!N19*1000000</f>
        <v>175.96942662600463</v>
      </c>
      <c r="O18" s="13">
        <f>'transport tax mil euro'!O18/POPULATION!O19*1000000</f>
        <v>174.48792991045877</v>
      </c>
      <c r="P18" s="13">
        <f>'transport tax mil euro'!P18/POPULATION!P19*1000000</f>
        <v>163.59096130645634</v>
      </c>
      <c r="Q18" s="13">
        <f>'transport tax mil euro'!Q18/POPULATION!Q19*1000000</f>
        <v>137.05912311479628</v>
      </c>
      <c r="R18" s="13">
        <f>'transport tax mil euro'!R18/POPULATION!R19*1000000</f>
        <v>128.82760941986041</v>
      </c>
      <c r="S18" s="13">
        <f>'transport tax mil euro'!S18/POPULATION!S19*1000000</f>
        <v>118.85059910726582</v>
      </c>
      <c r="T18" s="13">
        <f>'transport tax mil euro'!T18/POPULATION!T19*1000000</f>
        <v>116.12015512559829</v>
      </c>
      <c r="U18" s="13">
        <f>'transport tax mil euro'!U18/POPULATION!U19*1000000</f>
        <v>120.15464242106924</v>
      </c>
      <c r="V18" s="13">
        <f>'transport tax mil euro'!V18/POPULATION!V19*1000000</f>
        <v>126.73274209258406</v>
      </c>
      <c r="W18" s="13">
        <f>'transport tax mil euro'!W18/POPULATION!W19*1000000</f>
        <v>129.47799409710757</v>
      </c>
      <c r="X18" s="13">
        <f>'transport tax mil euro'!X18/POPULATION!X19*1000000</f>
        <v>134.48483482693996</v>
      </c>
      <c r="Y18" s="13">
        <f>'transport tax mil euro'!Y18/POPULATION!Y19*1000000</f>
        <v>136.39769104488693</v>
      </c>
      <c r="Z18" s="13">
        <f>'transport tax mil euro'!Z18/POPULATION!Z19*1000000</f>
        <v>141.13492602357846</v>
      </c>
      <c r="AA18" s="13">
        <f>'transport tax mil euro'!AA18/POPULATION!AA19*1000000</f>
        <v>131.54186381063775</v>
      </c>
      <c r="AB18" s="13">
        <f>'transport tax mil euro'!AB18/POPULATION!AB19*1000000</f>
        <v>139.73964278189322</v>
      </c>
      <c r="AC18" s="13">
        <f>'transport tax mil euro'!AC18/POPULATION!AC19*1000000</f>
        <v>150.3590215938687</v>
      </c>
      <c r="AD18" s="13">
        <f>'transport tax mil euro'!AD18/POPULATION!AD19*1000000</f>
        <v>161.60558853467475</v>
      </c>
      <c r="AE18" s="13">
        <f>'transport tax mil euro'!AE18/POPULATION!AE19*1000000</f>
        <v>159.31356958388798</v>
      </c>
    </row>
    <row r="19" spans="1:31" ht="11.35" customHeight="1" x14ac:dyDescent="0.45">
      <c r="A19" s="5" t="s">
        <v>51</v>
      </c>
      <c r="B19" s="13">
        <f>'transport tax mil euro'!B19/POPULATION!B20*1000000</f>
        <v>45.605512005809523</v>
      </c>
      <c r="C19" s="13">
        <f>'transport tax mil euro'!C19/POPULATION!C20*1000000</f>
        <v>47.374705633543336</v>
      </c>
      <c r="D19" s="13">
        <f>'transport tax mil euro'!D19/POPULATION!D20*1000000</f>
        <v>46.899366293274866</v>
      </c>
      <c r="E19" s="13">
        <f>'transport tax mil euro'!E19/POPULATION!E20*1000000</f>
        <v>55.359966703409071</v>
      </c>
      <c r="F19" s="13">
        <f>'transport tax mil euro'!F19/POPULATION!F20*1000000</f>
        <v>64.336735645836626</v>
      </c>
      <c r="G19" s="13">
        <f>'transport tax mil euro'!G19/POPULATION!G20*1000000</f>
        <v>67.506491569521486</v>
      </c>
      <c r="H19" s="13">
        <f>'transport tax mil euro'!H19/POPULATION!H20*1000000</f>
        <v>70.305217844738095</v>
      </c>
      <c r="I19" s="13">
        <f>'transport tax mil euro'!I19/POPULATION!I20*1000000</f>
        <v>71.207023381198979</v>
      </c>
      <c r="J19" s="13">
        <f>'transport tax mil euro'!J19/POPULATION!J20*1000000</f>
        <v>74.424119171543126</v>
      </c>
      <c r="K19" s="13">
        <f>'transport tax mil euro'!K19/POPULATION!K20*1000000</f>
        <v>79.440716671840107</v>
      </c>
      <c r="L19" s="13">
        <f>'transport tax mil euro'!L19/POPULATION!L20*1000000</f>
        <v>88.182977507243223</v>
      </c>
      <c r="M19" s="13">
        <f>'transport tax mil euro'!M19/POPULATION!M20*1000000</f>
        <v>93.683315537744846</v>
      </c>
      <c r="N19" s="13">
        <f>'transport tax mil euro'!N19/POPULATION!N20*1000000</f>
        <v>95.702399566851739</v>
      </c>
      <c r="O19" s="13">
        <f>'transport tax mil euro'!O19/POPULATION!O20*1000000</f>
        <v>76.419555094108929</v>
      </c>
      <c r="P19" s="13">
        <f>'transport tax mil euro'!P19/POPULATION!P20*1000000</f>
        <v>66.480283978513242</v>
      </c>
      <c r="Q19" s="13">
        <f>'transport tax mil euro'!Q19/POPULATION!Q20*1000000</f>
        <v>64.599234459275266</v>
      </c>
      <c r="R19" s="13">
        <f>'transport tax mil euro'!R19/POPULATION!R20*1000000</f>
        <v>60.277916121511879</v>
      </c>
      <c r="S19" s="13">
        <f>'transport tax mil euro'!S19/POPULATION!S20*1000000</f>
        <v>57.370828223944187</v>
      </c>
      <c r="T19" s="13">
        <f>'transport tax mil euro'!T19/POPULATION!T20*1000000</f>
        <v>57.286409569998703</v>
      </c>
      <c r="U19" s="13">
        <f>'transport tax mil euro'!U19/POPULATION!U20*1000000</f>
        <v>54.822222008104653</v>
      </c>
      <c r="V19" s="13">
        <f>'transport tax mil euro'!V19/POPULATION!V20*1000000</f>
        <v>54.991067236391068</v>
      </c>
      <c r="W19" s="13">
        <f>'transport tax mil euro'!W19/POPULATION!W20*1000000</f>
        <v>57.4335220984632</v>
      </c>
      <c r="X19" s="13">
        <f>'transport tax mil euro'!X19/POPULATION!X20*1000000</f>
        <v>58.626942805158997</v>
      </c>
      <c r="Y19" s="13">
        <f>'transport tax mil euro'!Y19/POPULATION!Y20*1000000</f>
        <v>61.421282034735931</v>
      </c>
      <c r="Z19" s="13">
        <f>'transport tax mil euro'!Z19/POPULATION!Z20*1000000</f>
        <v>63.151454515681728</v>
      </c>
      <c r="AA19" s="13">
        <f>'transport tax mil euro'!AA19/POPULATION!AA20*1000000</f>
        <v>55.602460371887688</v>
      </c>
      <c r="AB19" s="13">
        <f>'transport tax mil euro'!AB19/POPULATION!AB20*1000000</f>
        <v>59.51376599187212</v>
      </c>
      <c r="AC19" s="13">
        <f>'transport tax mil euro'!AC19/POPULATION!AC20*1000000</f>
        <v>63.722913734231597</v>
      </c>
      <c r="AD19" s="13">
        <f>'transport tax mil euro'!AD19/POPULATION!AD20*1000000</f>
        <v>64.655852328944761</v>
      </c>
      <c r="AE19" s="13">
        <f>'transport tax mil euro'!AE19/POPULATION!AE20*1000000</f>
        <v>66.290008606594512</v>
      </c>
    </row>
    <row r="20" spans="1:31" ht="11.35" customHeight="1" x14ac:dyDescent="0.45">
      <c r="A20" s="5" t="s">
        <v>52</v>
      </c>
      <c r="B20" s="13">
        <f>'transport tax mil euro'!B20/POPULATION!B21*1000000</f>
        <v>84.775321861759437</v>
      </c>
      <c r="C20" s="13">
        <f>'transport tax mil euro'!C20/POPULATION!C21*1000000</f>
        <v>92.263408450114071</v>
      </c>
      <c r="D20" s="13">
        <f>'transport tax mil euro'!D20/POPULATION!D21*1000000</f>
        <v>81.847912244347071</v>
      </c>
      <c r="E20" s="13">
        <f>'transport tax mil euro'!E20/POPULATION!E21*1000000</f>
        <v>85.862683908756708</v>
      </c>
      <c r="F20" s="13">
        <f>'transport tax mil euro'!F20/POPULATION!F21*1000000</f>
        <v>79.440102038392467</v>
      </c>
      <c r="G20" s="13">
        <f>'transport tax mil euro'!G20/POPULATION!G21*1000000</f>
        <v>59.542467422012002</v>
      </c>
      <c r="H20" s="13">
        <f>'transport tax mil euro'!H20/POPULATION!H21*1000000</f>
        <v>43.719743326077051</v>
      </c>
      <c r="I20" s="13">
        <f>'transport tax mil euro'!I20/POPULATION!I21*1000000</f>
        <v>43.907892994853022</v>
      </c>
      <c r="J20" s="13">
        <f>'transport tax mil euro'!J20/POPULATION!J21*1000000</f>
        <v>41.332541748615128</v>
      </c>
      <c r="K20" s="13">
        <f>'transport tax mil euro'!K20/POPULATION!K21*1000000</f>
        <v>72.336456798849156</v>
      </c>
      <c r="L20" s="13">
        <f>'transport tax mil euro'!L20/POPULATION!L21*1000000</f>
        <v>76.004171865966939</v>
      </c>
      <c r="M20" s="13">
        <f>'transport tax mil euro'!M20/POPULATION!M21*1000000</f>
        <v>79.772720497279479</v>
      </c>
      <c r="N20" s="13">
        <f>'transport tax mil euro'!N20/POPULATION!N21*1000000</f>
        <v>84.515586558046579</v>
      </c>
      <c r="O20" s="13">
        <f>'transport tax mil euro'!O20/POPULATION!O21*1000000</f>
        <v>90.739801696974908</v>
      </c>
      <c r="P20" s="13">
        <f>'transport tax mil euro'!P20/POPULATION!P21*1000000</f>
        <v>85.656264828036498</v>
      </c>
      <c r="Q20" s="13">
        <f>'transport tax mil euro'!Q20/POPULATION!Q21*1000000</f>
        <v>83.731762900351967</v>
      </c>
      <c r="R20" s="13">
        <f>'transport tax mil euro'!R20/POPULATION!R21*1000000</f>
        <v>88.552066144853782</v>
      </c>
      <c r="S20" s="13">
        <f>'transport tax mil euro'!S20/POPULATION!S21*1000000</f>
        <v>91.655584021093631</v>
      </c>
      <c r="T20" s="13">
        <f>'transport tax mil euro'!T20/POPULATION!T21*1000000</f>
        <v>89.313547869790327</v>
      </c>
      <c r="U20" s="13">
        <f>'transport tax mil euro'!U20/POPULATION!U21*1000000</f>
        <v>89.063896582503574</v>
      </c>
      <c r="V20" s="13">
        <f>'transport tax mil euro'!V20/POPULATION!V21*1000000</f>
        <v>88.371399668600489</v>
      </c>
      <c r="W20" s="13">
        <f>'transport tax mil euro'!W20/POPULATION!W21*1000000</f>
        <v>85.77638076525588</v>
      </c>
      <c r="X20" s="13">
        <f>'transport tax mil euro'!X20/POPULATION!X21*1000000</f>
        <v>89.747291026815589</v>
      </c>
      <c r="Y20" s="13">
        <f>'transport tax mil euro'!Y20/POPULATION!Y21*1000000</f>
        <v>95.39549773831807</v>
      </c>
      <c r="Z20" s="13">
        <f>'transport tax mil euro'!Z20/POPULATION!Z21*1000000</f>
        <v>95.139770978865641</v>
      </c>
      <c r="AA20" s="13">
        <f>'transport tax mil euro'!AA20/POPULATION!AA21*1000000</f>
        <v>82.061662855623439</v>
      </c>
      <c r="AB20" s="13">
        <f>'transport tax mil euro'!AB20/POPULATION!AB21*1000000</f>
        <v>84.292347654537735</v>
      </c>
      <c r="AC20" s="13">
        <f>'transport tax mil euro'!AC20/POPULATION!AC21*1000000</f>
        <v>88.49830059324556</v>
      </c>
      <c r="AD20" s="13">
        <f>'transport tax mil euro'!AD20/POPULATION!AD21*1000000</f>
        <v>94.599647525140526</v>
      </c>
      <c r="AE20" s="13">
        <f>'transport tax mil euro'!AE20/POPULATION!AE21*1000000</f>
        <v>108.8113563639928</v>
      </c>
    </row>
    <row r="21" spans="1:31" ht="11.35" customHeight="1" x14ac:dyDescent="0.45">
      <c r="A21" s="5" t="s">
        <v>53</v>
      </c>
      <c r="B21" s="13">
        <f>'transport tax mil euro'!B21/POPULATION!B22*1000000</f>
        <v>5.4090102520062171</v>
      </c>
      <c r="C21" s="13">
        <f>'transport tax mil euro'!C21/POPULATION!C22*1000000</f>
        <v>9.2247237439717864</v>
      </c>
      <c r="D21" s="13">
        <f>'transport tax mil euro'!D21/POPULATION!D22*1000000</f>
        <v>7.3174046134283754</v>
      </c>
      <c r="E21" s="13">
        <f>'transport tax mil euro'!E21/POPULATION!E22*1000000</f>
        <v>10.826985998097342</v>
      </c>
      <c r="F21" s="13">
        <f>'transport tax mil euro'!F21/POPULATION!F22*1000000</f>
        <v>11.553939736629369</v>
      </c>
      <c r="G21" s="13">
        <f>'transport tax mil euro'!G21/POPULATION!G22*1000000</f>
        <v>10.90548909617841</v>
      </c>
      <c r="H21" s="13">
        <f>'transport tax mil euro'!H21/POPULATION!H22*1000000</f>
        <v>24.428424228117205</v>
      </c>
      <c r="I21" s="13">
        <f>'transport tax mil euro'!I21/POPULATION!I22*1000000</f>
        <v>55.443115238344312</v>
      </c>
      <c r="J21" s="13">
        <f>'transport tax mil euro'!J21/POPULATION!J22*1000000</f>
        <v>70.857791082049815</v>
      </c>
      <c r="K21" s="13">
        <f>'transport tax mil euro'!K21/POPULATION!K22*1000000</f>
        <v>81.375378130280026</v>
      </c>
      <c r="L21" s="13">
        <f>'transport tax mil euro'!L21/POPULATION!L22*1000000</f>
        <v>91.179001132256417</v>
      </c>
      <c r="M21" s="13">
        <f>'transport tax mil euro'!M21/POPULATION!M22*1000000</f>
        <v>101.55856701712958</v>
      </c>
      <c r="N21" s="13">
        <f>'transport tax mil euro'!N21/POPULATION!N22*1000000</f>
        <v>110.3411822799424</v>
      </c>
      <c r="O21" s="13">
        <f>'transport tax mil euro'!O21/POPULATION!O22*1000000</f>
        <v>118.64886721071846</v>
      </c>
      <c r="P21" s="13">
        <f>'transport tax mil euro'!P21/POPULATION!P22*1000000</f>
        <v>90.268773742423079</v>
      </c>
      <c r="Q21" s="13">
        <f>'transport tax mil euro'!Q21/POPULATION!Q22*1000000</f>
        <v>89.687130404590263</v>
      </c>
      <c r="R21" s="13">
        <f>'transport tax mil euro'!R21/POPULATION!R22*1000000</f>
        <v>89.056581606333268</v>
      </c>
      <c r="S21" s="13">
        <f>'transport tax mil euro'!S21/POPULATION!S22*1000000</f>
        <v>83.328188318758919</v>
      </c>
      <c r="T21" s="13">
        <f>'transport tax mil euro'!T21/POPULATION!T22*1000000</f>
        <v>83.563197257499922</v>
      </c>
      <c r="U21" s="13">
        <f>'transport tax mil euro'!U21/POPULATION!U22*1000000</f>
        <v>89.227794174551022</v>
      </c>
      <c r="V21" s="13">
        <f>'transport tax mil euro'!V21/POPULATION!V22*1000000</f>
        <v>90.74807787290581</v>
      </c>
      <c r="W21" s="13">
        <f>'transport tax mil euro'!W21/POPULATION!W22*1000000</f>
        <v>97.206202199648274</v>
      </c>
      <c r="X21" s="13">
        <f>'transport tax mil euro'!X21/POPULATION!X22*1000000</f>
        <v>108.61365279573323</v>
      </c>
      <c r="Y21" s="13">
        <f>'transport tax mil euro'!Y21/POPULATION!Y22*1000000</f>
        <v>106.62771299199545</v>
      </c>
      <c r="Z21" s="13">
        <f>'transport tax mil euro'!Z21/POPULATION!Z22*1000000</f>
        <v>111.42758945300649</v>
      </c>
      <c r="AA21" s="13">
        <f>'transport tax mil euro'!AA21/POPULATION!AA22*1000000</f>
        <v>94.490647159751177</v>
      </c>
      <c r="AB21" s="13">
        <f>'transport tax mil euro'!AB21/POPULATION!AB22*1000000</f>
        <v>99.421375557214361</v>
      </c>
      <c r="AC21" s="13">
        <f>'transport tax mil euro'!AC21/POPULATION!AC22*1000000</f>
        <v>106.99310385896504</v>
      </c>
      <c r="AD21" s="13">
        <f>'transport tax mil euro'!AD21/POPULATION!AD22*1000000</f>
        <v>124.62820321722695</v>
      </c>
      <c r="AE21" s="13">
        <f>'transport tax mil euro'!AE21/POPULATION!AE22*1000000</f>
        <v>137.45845057712819</v>
      </c>
    </row>
    <row r="22" spans="1:31" ht="11.35" customHeight="1" x14ac:dyDescent="0.45">
      <c r="A22" s="5" t="s">
        <v>54</v>
      </c>
      <c r="B22" s="13">
        <f>'transport tax mil euro'!B22/POPULATION!B23*1000000</f>
        <v>69.44799214022953</v>
      </c>
      <c r="C22" s="13">
        <f>'transport tax mil euro'!C22/POPULATION!C23*1000000</f>
        <v>76.1776967312952</v>
      </c>
      <c r="D22" s="13">
        <f>'transport tax mil euro'!D22/POPULATION!D23*1000000</f>
        <v>81.822037709724199</v>
      </c>
      <c r="E22" s="13">
        <f>'transport tax mil euro'!E22/POPULATION!E23*1000000</f>
        <v>90.736953653426212</v>
      </c>
      <c r="F22" s="13">
        <f>'transport tax mil euro'!F22/POPULATION!F23*1000000</f>
        <v>110.73798396667922</v>
      </c>
      <c r="G22" s="13">
        <f>'transport tax mil euro'!G22/POPULATION!G23*1000000</f>
        <v>117.70177826657394</v>
      </c>
      <c r="H22" s="13">
        <f>'transport tax mil euro'!H22/POPULATION!H23*1000000</f>
        <v>124.99848140889861</v>
      </c>
      <c r="I22" s="13">
        <f>'transport tax mil euro'!I22/POPULATION!I23*1000000</f>
        <v>129.52406485888596</v>
      </c>
      <c r="J22" s="13">
        <f>'transport tax mil euro'!J22/POPULATION!J23*1000000</f>
        <v>138.12730017627624</v>
      </c>
      <c r="K22" s="13">
        <f>'transport tax mil euro'!K22/POPULATION!K23*1000000</f>
        <v>138.42604638374755</v>
      </c>
      <c r="L22" s="13">
        <f>'transport tax mil euro'!L22/POPULATION!L23*1000000</f>
        <v>142.97683454835789</v>
      </c>
      <c r="M22" s="13">
        <f>'transport tax mil euro'!M22/POPULATION!M23*1000000</f>
        <v>149.03327550881133</v>
      </c>
      <c r="N22" s="13">
        <f>'transport tax mil euro'!N22/POPULATION!N23*1000000</f>
        <v>157.73176627020089</v>
      </c>
      <c r="O22" s="13">
        <f>'transport tax mil euro'!O22/POPULATION!O23*1000000</f>
        <v>154.24961241416338</v>
      </c>
      <c r="P22" s="13">
        <f>'transport tax mil euro'!P22/POPULATION!P23*1000000</f>
        <v>147.47412816082343</v>
      </c>
      <c r="Q22" s="13">
        <f>'transport tax mil euro'!Q22/POPULATION!Q23*1000000</f>
        <v>149.11966624535879</v>
      </c>
      <c r="R22" s="13">
        <f>'transport tax mil euro'!R22/POPULATION!R23*1000000</f>
        <v>156.66781437406181</v>
      </c>
      <c r="S22" s="13">
        <f>'transport tax mil euro'!S22/POPULATION!S23*1000000</f>
        <v>165.44329744596911</v>
      </c>
      <c r="T22" s="13">
        <f>'transport tax mil euro'!T22/POPULATION!T23*1000000</f>
        <v>160.95609045851734</v>
      </c>
      <c r="U22" s="13">
        <f>'transport tax mil euro'!U22/POPULATION!U23*1000000</f>
        <v>160.25939252857819</v>
      </c>
      <c r="V22" s="13">
        <f>'transport tax mil euro'!V22/POPULATION!V23*1000000</f>
        <v>164.29087565195789</v>
      </c>
      <c r="W22" s="13">
        <f>'transport tax mil euro'!W22/POPULATION!W23*1000000</f>
        <v>174.75650438589958</v>
      </c>
      <c r="X22" s="13">
        <f>'transport tax mil euro'!X22/POPULATION!X23*1000000</f>
        <v>174.67239021186003</v>
      </c>
      <c r="Y22" s="13">
        <f>'transport tax mil euro'!Y22/POPULATION!Y23*1000000</f>
        <v>180.77082582102781</v>
      </c>
      <c r="Z22" s="13">
        <f>'transport tax mil euro'!Z22/POPULATION!Z23*1000000</f>
        <v>183.9453692116912</v>
      </c>
      <c r="AA22" s="13">
        <f>'transport tax mil euro'!AA22/POPULATION!AA23*1000000</f>
        <v>166.42777255993346</v>
      </c>
      <c r="AB22" s="13">
        <f>'transport tax mil euro'!AB22/POPULATION!AB23*1000000</f>
        <v>176.61493654228033</v>
      </c>
      <c r="AC22" s="13">
        <f>'transport tax mil euro'!AC22/POPULATION!AC23*1000000</f>
        <v>177.62114816851252</v>
      </c>
      <c r="AD22" s="13">
        <f>'transport tax mil euro'!AD22/POPULATION!AD23*1000000</f>
        <v>190.68701242284359</v>
      </c>
      <c r="AE22" s="13">
        <f>'transport tax mil euro'!AE22/POPULATION!AE23*1000000</f>
        <v>200.21627495305762</v>
      </c>
    </row>
    <row r="23" spans="1:31" ht="11.35" customHeight="1" x14ac:dyDescent="0.45">
      <c r="A23" s="5" t="s">
        <v>55</v>
      </c>
      <c r="B23" s="13">
        <f>'transport tax mil euro'!B23/POPULATION!B24*1000000</f>
        <v>250.00038735727821</v>
      </c>
      <c r="C23" s="13">
        <f>'transport tax mil euro'!C23/POPULATION!C24*1000000</f>
        <v>244.6623893663735</v>
      </c>
      <c r="D23" s="13">
        <f>'transport tax mil euro'!D23/POPULATION!D24*1000000</f>
        <v>224.86429050611352</v>
      </c>
      <c r="E23" s="13">
        <f>'transport tax mil euro'!E23/POPULATION!E24*1000000</f>
        <v>244.17407788630288</v>
      </c>
      <c r="F23" s="13">
        <f>'transport tax mil euro'!F23/POPULATION!F24*1000000</f>
        <v>252.61326593074443</v>
      </c>
      <c r="G23" s="13">
        <f>'transport tax mil euro'!G23/POPULATION!G24*1000000</f>
        <v>284.15764297310488</v>
      </c>
      <c r="H23" s="13">
        <f>'transport tax mil euro'!H23/POPULATION!H24*1000000</f>
        <v>307.99270015439777</v>
      </c>
      <c r="I23" s="13">
        <f>'transport tax mil euro'!I23/POPULATION!I24*1000000</f>
        <v>308.43085924378386</v>
      </c>
      <c r="J23" s="13">
        <f>'transport tax mil euro'!J23/POPULATION!J24*1000000</f>
        <v>306.19850921930168</v>
      </c>
      <c r="K23" s="13">
        <f>'transport tax mil euro'!K23/POPULATION!K24*1000000</f>
        <v>333.81150460718254</v>
      </c>
      <c r="L23" s="13">
        <f>'transport tax mil euro'!L23/POPULATION!L24*1000000</f>
        <v>294.2568687446032</v>
      </c>
      <c r="M23" s="13">
        <f>'transport tax mil euro'!M23/POPULATION!M24*1000000</f>
        <v>284.86061399464796</v>
      </c>
      <c r="N23" s="13">
        <f>'transport tax mil euro'!N23/POPULATION!N24*1000000</f>
        <v>333.73091477155776</v>
      </c>
      <c r="O23" s="13">
        <f>'transport tax mil euro'!O23/POPULATION!O24*1000000</f>
        <v>347.01603564449789</v>
      </c>
      <c r="P23" s="13">
        <f>'transport tax mil euro'!P23/POPULATION!P24*1000000</f>
        <v>269.53433802216006</v>
      </c>
      <c r="Q23" s="13">
        <f>'transport tax mil euro'!Q23/POPULATION!Q24*1000000</f>
        <v>222.67255902531923</v>
      </c>
      <c r="R23" s="13">
        <f>'transport tax mil euro'!R23/POPULATION!R24*1000000</f>
        <v>192.31891358271676</v>
      </c>
      <c r="S23" s="13">
        <f>'transport tax mil euro'!S23/POPULATION!S24*1000000</f>
        <v>159.97475670264069</v>
      </c>
      <c r="T23" s="13">
        <f>'transport tax mil euro'!T23/POPULATION!T24*1000000</f>
        <v>125.28191327849207</v>
      </c>
      <c r="U23" s="13">
        <f>'transport tax mil euro'!U23/POPULATION!U24*1000000</f>
        <v>137.08792230986754</v>
      </c>
      <c r="V23" s="13">
        <f>'transport tax mil euro'!V23/POPULATION!V24*1000000</f>
        <v>133.47335063414363</v>
      </c>
      <c r="W23" s="13">
        <f>'transport tax mil euro'!W23/POPULATION!W24*1000000</f>
        <v>134.52748667460094</v>
      </c>
      <c r="X23" s="13">
        <f>'transport tax mil euro'!X23/POPULATION!X24*1000000</f>
        <v>141.51409737917271</v>
      </c>
      <c r="Y23" s="13">
        <f>'transport tax mil euro'!Y23/POPULATION!Y24*1000000</f>
        <v>142.95453795295018</v>
      </c>
      <c r="Z23" s="13">
        <f>'transport tax mil euro'!Z23/POPULATION!Z24*1000000</f>
        <v>130.64567948110187</v>
      </c>
      <c r="AA23" s="13">
        <f>'transport tax mil euro'!AA23/POPULATION!AA24*1000000</f>
        <v>125.77166735554819</v>
      </c>
      <c r="AB23" s="13">
        <f>'transport tax mil euro'!AB23/POPULATION!AB24*1000000</f>
        <v>125.09896377816366</v>
      </c>
      <c r="AC23" s="13">
        <f>'transport tax mil euro'!AC23/POPULATION!AC24*1000000</f>
        <v>125.30061391923111</v>
      </c>
      <c r="AD23" s="13">
        <f>'transport tax mil euro'!AD23/POPULATION!AD24*1000000</f>
        <v>123.90894799617314</v>
      </c>
      <c r="AE23" s="13">
        <f>'transport tax mil euro'!AE23/POPULATION!AE24*1000000</f>
        <v>125.41844955063561</v>
      </c>
    </row>
    <row r="24" spans="1:31" ht="11.35" customHeight="1" x14ac:dyDescent="0.45">
      <c r="A24" s="5" t="s">
        <v>56</v>
      </c>
      <c r="B24" s="13">
        <f>'transport tax mil euro'!B24/POPULATION!B25*1000000</f>
        <v>0</v>
      </c>
      <c r="C24" s="13">
        <f>'transport tax mil euro'!C24/POPULATION!C25*1000000</f>
        <v>0</v>
      </c>
      <c r="D24" s="13">
        <f>'transport tax mil euro'!D24/POPULATION!D25*1000000</f>
        <v>0.50717571838986442</v>
      </c>
      <c r="E24" s="13">
        <f>'transport tax mil euro'!E24/POPULATION!E25*1000000</f>
        <v>1.0161976116051419</v>
      </c>
      <c r="F24" s="13">
        <f>'transport tax mil euro'!F24/POPULATION!F25*1000000</f>
        <v>1.300407461004448</v>
      </c>
      <c r="G24" s="13">
        <f>'transport tax mil euro'!G24/POPULATION!G25*1000000</f>
        <v>7.813697272763533</v>
      </c>
      <c r="H24" s="13">
        <f>'transport tax mil euro'!H24/POPULATION!H25*1000000</f>
        <v>8.1712121778681244</v>
      </c>
      <c r="I24" s="13">
        <f>'transport tax mil euro'!I24/POPULATION!I25*1000000</f>
        <v>10.43966365583837</v>
      </c>
      <c r="J24" s="13">
        <f>'transport tax mil euro'!J24/POPULATION!J25*1000000</f>
        <v>11.107293673539504</v>
      </c>
      <c r="K24" s="13">
        <f>'transport tax mil euro'!K24/POPULATION!K25*1000000</f>
        <v>15.800432238680092</v>
      </c>
      <c r="L24" s="13">
        <f>'transport tax mil euro'!L24/POPULATION!L25*1000000</f>
        <v>17.899973507861411</v>
      </c>
      <c r="M24" s="13">
        <f>'transport tax mil euro'!M24/POPULATION!M25*1000000</f>
        <v>22.083834184518516</v>
      </c>
      <c r="N24" s="13">
        <f>'transport tax mil euro'!N24/POPULATION!N25*1000000</f>
        <v>27.127360967747776</v>
      </c>
      <c r="O24" s="13">
        <f>'transport tax mil euro'!O24/POPULATION!O25*1000000</f>
        <v>24.016680277943802</v>
      </c>
      <c r="P24" s="13">
        <f>'transport tax mil euro'!P24/POPULATION!P25*1000000</f>
        <v>18.910374074015849</v>
      </c>
      <c r="Q24" s="13">
        <f>'transport tax mil euro'!Q24/POPULATION!Q25*1000000</f>
        <v>28.639417798787456</v>
      </c>
      <c r="R24" s="13">
        <f>'transport tax mil euro'!R24/POPULATION!R25*1000000</f>
        <v>43.892692825863236</v>
      </c>
      <c r="S24" s="13">
        <f>'transport tax mil euro'!S24/POPULATION!S25*1000000</f>
        <v>46.067782237299944</v>
      </c>
      <c r="T24" s="13">
        <f>'transport tax mil euro'!T24/POPULATION!T25*1000000</f>
        <v>50.834434795498616</v>
      </c>
      <c r="U24" s="13">
        <f>'transport tax mil euro'!U24/POPULATION!U25*1000000</f>
        <v>51.921889333229409</v>
      </c>
      <c r="V24" s="13">
        <f>'transport tax mil euro'!V24/POPULATION!V25*1000000</f>
        <v>55.823082066526489</v>
      </c>
      <c r="W24" s="13">
        <f>'transport tax mil euro'!W24/POPULATION!W25*1000000</f>
        <v>58.751917893585293</v>
      </c>
      <c r="X24" s="13">
        <f>'transport tax mil euro'!X24/POPULATION!X25*1000000</f>
        <v>57.868352446726249</v>
      </c>
      <c r="Y24" s="13">
        <f>'transport tax mil euro'!Y24/POPULATION!Y25*1000000</f>
        <v>59.864173463421594</v>
      </c>
      <c r="Z24" s="13">
        <f>'transport tax mil euro'!Z24/POPULATION!Z25*1000000</f>
        <v>60.63121885364756</v>
      </c>
      <c r="AA24" s="13">
        <f>'transport tax mil euro'!AA24/POPULATION!AA25*1000000</f>
        <v>62.494921828927879</v>
      </c>
      <c r="AB24" s="13">
        <f>'transport tax mil euro'!AB24/POPULATION!AB25*1000000</f>
        <v>64.715038851735898</v>
      </c>
      <c r="AC24" s="13">
        <f>'transport tax mil euro'!AC24/POPULATION!AC25*1000000</f>
        <v>66.058663249024264</v>
      </c>
      <c r="AD24" s="13">
        <f>'transport tax mil euro'!AD24/POPULATION!AD25*1000000</f>
        <v>67.474339647928318</v>
      </c>
      <c r="AE24" s="13">
        <f>'transport tax mil euro'!AE24/POPULATION!AE25*1000000</f>
        <v>69.637890422261549</v>
      </c>
    </row>
    <row r="25" spans="1:31" ht="11.35" customHeight="1" x14ac:dyDescent="0.45">
      <c r="A25" s="5" t="s">
        <v>57</v>
      </c>
      <c r="B25" s="13">
        <f>'transport tax mil euro'!B25/POPULATION!B26*1000000</f>
        <v>10.334914360205666</v>
      </c>
      <c r="C25" s="13">
        <f>'transport tax mil euro'!C25/POPULATION!C26*1000000</f>
        <v>13.008918979025296</v>
      </c>
      <c r="D25" s="13">
        <f>'transport tax mil euro'!D25/POPULATION!D26*1000000</f>
        <v>20.512746191276339</v>
      </c>
      <c r="E25" s="13">
        <f>'transport tax mil euro'!E25/POPULATION!E26*1000000</f>
        <v>21.685665368146804</v>
      </c>
      <c r="F25" s="13">
        <f>'transport tax mil euro'!F25/POPULATION!F26*1000000</f>
        <v>19.932694284386866</v>
      </c>
      <c r="G25" s="13">
        <f>'transport tax mil euro'!G25/POPULATION!G26*1000000</f>
        <v>23.6071335626755</v>
      </c>
      <c r="H25" s="13">
        <f>'transport tax mil euro'!H25/POPULATION!H26*1000000</f>
        <v>25.850315945119554</v>
      </c>
      <c r="I25" s="13">
        <f>'transport tax mil euro'!I25/POPULATION!I26*1000000</f>
        <v>32.165463404693455</v>
      </c>
      <c r="J25" s="13">
        <f>'transport tax mil euro'!J25/POPULATION!J26*1000000</f>
        <v>35.646250018577895</v>
      </c>
      <c r="K25" s="13">
        <f>'transport tax mil euro'!K25/POPULATION!K26*1000000</f>
        <v>42.001465755830736</v>
      </c>
      <c r="L25" s="13">
        <f>'transport tax mil euro'!L25/POPULATION!L26*1000000</f>
        <v>29.795363642324496</v>
      </c>
      <c r="M25" s="13">
        <f>'transport tax mil euro'!M25/POPULATION!M26*1000000</f>
        <v>6.9061214316219504</v>
      </c>
      <c r="N25" s="13">
        <f>'transport tax mil euro'!N25/POPULATION!N26*1000000</f>
        <v>9.1908173058136011</v>
      </c>
      <c r="O25" s="13">
        <f>'transport tax mil euro'!O25/POPULATION!O26*1000000</f>
        <v>4.5445985423044535</v>
      </c>
      <c r="P25" s="13">
        <f>'transport tax mil euro'!P25/POPULATION!P26*1000000</f>
        <v>3.6245357830253626</v>
      </c>
      <c r="Q25" s="13">
        <f>'transport tax mil euro'!Q25/POPULATION!Q26*1000000</f>
        <v>4.0165806486109377</v>
      </c>
      <c r="R25" s="13">
        <f>'transport tax mil euro'!R25/POPULATION!R26*1000000</f>
        <v>4.6714459992635762</v>
      </c>
      <c r="S25" s="13">
        <f>'transport tax mil euro'!S25/POPULATION!S26*1000000</f>
        <v>5.1237814372623092</v>
      </c>
      <c r="T25" s="13">
        <f>'transport tax mil euro'!T25/POPULATION!T26*1000000</f>
        <v>10.270160695237774</v>
      </c>
      <c r="U25" s="13">
        <f>'transport tax mil euro'!U25/POPULATION!U26*1000000</f>
        <v>12.463269990250563</v>
      </c>
      <c r="V25" s="13">
        <f>'transport tax mil euro'!V25/POPULATION!V26*1000000</f>
        <v>10.841769617350112</v>
      </c>
      <c r="W25" s="13">
        <f>'transport tax mil euro'!W25/POPULATION!W26*1000000</f>
        <v>11.621188621388582</v>
      </c>
      <c r="X25" s="13">
        <f>'transport tax mil euro'!X25/POPULATION!X26*1000000</f>
        <v>12.04934319712271</v>
      </c>
      <c r="Y25" s="13">
        <f>'transport tax mil euro'!Y25/POPULATION!Y26*1000000</f>
        <v>13.626070341801713</v>
      </c>
      <c r="Z25" s="13">
        <f>'transport tax mil euro'!Z25/POPULATION!Z26*1000000</f>
        <v>13.597894886565678</v>
      </c>
      <c r="AA25" s="13">
        <f>'transport tax mil euro'!AA25/POPULATION!AA26*1000000</f>
        <v>18.626486978363168</v>
      </c>
      <c r="AB25" s="13">
        <f>'transport tax mil euro'!AB25/POPULATION!AB26*1000000</f>
        <v>24.349277651141453</v>
      </c>
      <c r="AC25" s="13">
        <f>'transport tax mil euro'!AC25/POPULATION!AC26*1000000</f>
        <v>24.262312375133551</v>
      </c>
      <c r="AD25" s="13">
        <f>'transport tax mil euro'!AD25/POPULATION!AD26*1000000</f>
        <v>26.840221063466323</v>
      </c>
      <c r="AE25" s="13">
        <f>'transport tax mil euro'!AE25/POPULATION!AE26*1000000</f>
        <v>27.409212614059225</v>
      </c>
    </row>
    <row r="26" spans="1:31" ht="11.35" customHeight="1" x14ac:dyDescent="0.45">
      <c r="A26" s="5" t="s">
        <v>58</v>
      </c>
      <c r="B26" s="13">
        <f>'transport tax mil euro'!B26/POPULATION!B27*1000000</f>
        <v>54.209293726118574</v>
      </c>
      <c r="C26" s="13">
        <f>'transport tax mil euro'!C26/POPULATION!C27*1000000</f>
        <v>54.130223517978621</v>
      </c>
      <c r="D26" s="13">
        <f>'transport tax mil euro'!D26/POPULATION!D27*1000000</f>
        <v>54.31210267482308</v>
      </c>
      <c r="E26" s="13">
        <f>'transport tax mil euro'!E26/POPULATION!E27*1000000</f>
        <v>56.983769695533709</v>
      </c>
      <c r="F26" s="13">
        <f>'transport tax mil euro'!F26/POPULATION!F27*1000000</f>
        <v>60.65286065286066</v>
      </c>
      <c r="G26" s="13">
        <f>'transport tax mil euro'!G26/POPULATION!G27*1000000</f>
        <v>61.900369003690031</v>
      </c>
      <c r="H26" s="13">
        <f>'transport tax mil euro'!H26/POPULATION!H27*1000000</f>
        <v>64.897494305239178</v>
      </c>
      <c r="I26" s="13">
        <f>'transport tax mil euro'!I26/POPULATION!I27*1000000</f>
        <v>65.735840558495667</v>
      </c>
      <c r="J26" s="13">
        <f>'transport tax mil euro'!J26/POPULATION!J27*1000000</f>
        <v>66.384117778273477</v>
      </c>
      <c r="K26" s="13">
        <f>'transport tax mil euro'!K26/POPULATION!K27*1000000</f>
        <v>67.85211886759275</v>
      </c>
      <c r="L26" s="13">
        <f>'transport tax mil euro'!L26/POPULATION!L27*1000000</f>
        <v>68.599180452268925</v>
      </c>
      <c r="M26" s="13">
        <f>'transport tax mil euro'!M26/POPULATION!M27*1000000</f>
        <v>77.27794050557894</v>
      </c>
      <c r="N26" s="13">
        <f>'transport tax mil euro'!N26/POPULATION!N27*1000000</f>
        <v>138.58001163408491</v>
      </c>
      <c r="O26" s="13">
        <f>'transport tax mil euro'!O26/POPULATION!O27*1000000</f>
        <v>139.06601708560785</v>
      </c>
      <c r="P26" s="13">
        <f>'transport tax mil euro'!P26/POPULATION!P27*1000000</f>
        <v>148.24721377912866</v>
      </c>
      <c r="Q26" s="13">
        <f>'transport tax mil euro'!Q26/POPULATION!Q27*1000000</f>
        <v>131.29747881752598</v>
      </c>
      <c r="R26" s="13">
        <f>'transport tax mil euro'!R26/POPULATION!R27*1000000</f>
        <v>124.92185057830571</v>
      </c>
      <c r="S26" s="13">
        <f>'transport tax mil euro'!S26/POPULATION!S27*1000000</f>
        <v>117.86157266891873</v>
      </c>
      <c r="T26" s="13">
        <f>'transport tax mil euro'!T26/POPULATION!T27*1000000</f>
        <v>129.84159437210332</v>
      </c>
      <c r="U26" s="13">
        <f>'transport tax mil euro'!U26/POPULATION!U27*1000000</f>
        <v>126.65550865958376</v>
      </c>
      <c r="V26" s="13">
        <f>'transport tax mil euro'!V26/POPULATION!V27*1000000</f>
        <v>123.38398246405593</v>
      </c>
      <c r="W26" s="13">
        <f>'transport tax mil euro'!W26/POPULATION!W27*1000000</f>
        <v>117.41452045903766</v>
      </c>
      <c r="X26" s="13">
        <f>'transport tax mil euro'!X26/POPULATION!X27*1000000</f>
        <v>114.24372785342672</v>
      </c>
      <c r="Y26" s="13">
        <f>'transport tax mil euro'!Y26/POPULATION!Y27*1000000</f>
        <v>112.83959435552862</v>
      </c>
      <c r="Z26" s="13">
        <f>'transport tax mil euro'!Z26/POPULATION!Z27*1000000</f>
        <v>111.17554496378854</v>
      </c>
      <c r="AA26" s="13">
        <f>'transport tax mil euro'!AA26/POPULATION!AA27*1000000</f>
        <v>110.31643103106812</v>
      </c>
      <c r="AB26" s="13">
        <f>'transport tax mil euro'!AB26/POPULATION!AB27*1000000</f>
        <v>108.86518677232839</v>
      </c>
      <c r="AC26" s="13">
        <f>'transport tax mil euro'!AC26/POPULATION!AC27*1000000</f>
        <v>107.59269101033937</v>
      </c>
      <c r="AD26" s="13">
        <f>'transport tax mil euro'!AD26/POPULATION!AD27*1000000</f>
        <v>105.29517606449063</v>
      </c>
      <c r="AE26" s="13">
        <f>'transport tax mil euro'!AE26/POPULATION!AE27*1000000</f>
        <v>103.71252138977755</v>
      </c>
    </row>
    <row r="27" spans="1:31" ht="11.35" customHeight="1" x14ac:dyDescent="0.45">
      <c r="A27" s="5" t="s">
        <v>59</v>
      </c>
      <c r="B27" s="13">
        <f>'transport tax mil euro'!B27/POPULATION!B28*1000000</f>
        <v>5.0635115655866958</v>
      </c>
      <c r="C27" s="13">
        <f>'transport tax mil euro'!C27/POPULATION!C28*1000000</f>
        <v>10.08116378388659</v>
      </c>
      <c r="D27" s="13">
        <f>'transport tax mil euro'!D27/POPULATION!D28*1000000</f>
        <v>11.8189574524327</v>
      </c>
      <c r="E27" s="13">
        <f>'transport tax mil euro'!E27/POPULATION!E28*1000000</f>
        <v>12.570376403101873</v>
      </c>
      <c r="F27" s="13">
        <f>'transport tax mil euro'!F27/POPULATION!F28*1000000</f>
        <v>17.065532111444615</v>
      </c>
      <c r="G27" s="13">
        <f>'transport tax mil euro'!G27/POPULATION!G28*1000000</f>
        <v>20.140595778917756</v>
      </c>
      <c r="H27" s="13">
        <f>'transport tax mil euro'!H27/POPULATION!H28*1000000</f>
        <v>21.787598754467762</v>
      </c>
      <c r="I27" s="13">
        <f>'transport tax mil euro'!I27/POPULATION!I28*1000000</f>
        <v>26.587116295439351</v>
      </c>
      <c r="J27" s="13">
        <f>'transport tax mil euro'!J27/POPULATION!J28*1000000</f>
        <v>33.365009058047818</v>
      </c>
      <c r="K27" s="13">
        <f>'transport tax mil euro'!K27/POPULATION!K28*1000000</f>
        <v>63.227865255434992</v>
      </c>
      <c r="L27" s="13">
        <f>'transport tax mil euro'!L27/POPULATION!L28*1000000</f>
        <v>47.235225102646197</v>
      </c>
      <c r="M27" s="13">
        <f>'transport tax mil euro'!M27/POPULATION!M28*1000000</f>
        <v>52.77186775951089</v>
      </c>
      <c r="N27" s="13">
        <f>'transport tax mil euro'!N27/POPULATION!N28*1000000</f>
        <v>64.262849838041475</v>
      </c>
      <c r="O27" s="13">
        <f>'transport tax mil euro'!O27/POPULATION!O28*1000000</f>
        <v>60.878605045234124</v>
      </c>
      <c r="P27" s="13">
        <f>'transport tax mil euro'!P27/POPULATION!P28*1000000</f>
        <v>43.044669137347064</v>
      </c>
      <c r="Q27" s="13">
        <f>'transport tax mil euro'!Q27/POPULATION!Q28*1000000</f>
        <v>46.071007888300798</v>
      </c>
      <c r="R27" s="13">
        <f>'transport tax mil euro'!R27/POPULATION!R28*1000000</f>
        <v>47.255471362010674</v>
      </c>
      <c r="S27" s="13">
        <f>'transport tax mil euro'!S27/POPULATION!S28*1000000</f>
        <v>41.292095943132878</v>
      </c>
      <c r="T27" s="13">
        <f>'transport tax mil euro'!T27/POPULATION!T28*1000000</f>
        <v>40.0980268310553</v>
      </c>
      <c r="U27" s="13">
        <f>'transport tax mil euro'!U27/POPULATION!U28*1000000</f>
        <v>39.835670625327339</v>
      </c>
      <c r="V27" s="13">
        <f>'transport tax mil euro'!V27/POPULATION!V28*1000000</f>
        <v>41.832308495090295</v>
      </c>
      <c r="W27" s="13">
        <f>'transport tax mil euro'!W27/POPULATION!W28*1000000</f>
        <v>42.696815796717509</v>
      </c>
      <c r="X27" s="13">
        <f>'transport tax mil euro'!X27/POPULATION!X28*1000000</f>
        <v>45.320993932457121</v>
      </c>
      <c r="Y27" s="13">
        <f>'transport tax mil euro'!Y27/POPULATION!Y28*1000000</f>
        <v>46.149466910241301</v>
      </c>
      <c r="Z27" s="13">
        <f>'transport tax mil euro'!Z27/POPULATION!Z28*1000000</f>
        <v>47.23785064996116</v>
      </c>
      <c r="AA27" s="13">
        <f>'transport tax mil euro'!AA27/POPULATION!AA28*1000000</f>
        <v>42.503253047461463</v>
      </c>
      <c r="AB27" s="13">
        <f>'transport tax mil euro'!AB27/POPULATION!AB28*1000000</f>
        <v>44.79529057828654</v>
      </c>
      <c r="AC27" s="13">
        <f>'transport tax mil euro'!AC27/POPULATION!AC28*1000000</f>
        <v>50.703388817305573</v>
      </c>
      <c r="AD27" s="13">
        <f>'transport tax mil euro'!AD27/POPULATION!AD28*1000000</f>
        <v>61.639143710498956</v>
      </c>
      <c r="AE27" s="13">
        <f>'transport tax mil euro'!AE27/POPULATION!AE28*1000000</f>
        <v>61.373280358223639</v>
      </c>
    </row>
    <row r="28" spans="1:31" ht="11.35" customHeight="1" x14ac:dyDescent="0.45">
      <c r="A28" s="5" t="s">
        <v>60</v>
      </c>
      <c r="B28" s="13">
        <f>'transport tax mil euro'!B28/POPULATION!B29*1000000</f>
        <v>170.46858272255619</v>
      </c>
      <c r="C28" s="13">
        <f>'transport tax mil euro'!C28/POPULATION!C29*1000000</f>
        <v>171.16626674136634</v>
      </c>
      <c r="D28" s="13">
        <f>'transport tax mil euro'!D28/POPULATION!D29*1000000</f>
        <v>189.77202711028957</v>
      </c>
      <c r="E28" s="13">
        <f>'transport tax mil euro'!E28/POPULATION!E29*1000000</f>
        <v>206.46786889342383</v>
      </c>
      <c r="F28" s="13">
        <f>'transport tax mil euro'!F28/POPULATION!F29*1000000</f>
        <v>233.67158647712068</v>
      </c>
      <c r="G28" s="13">
        <f>'transport tax mil euro'!G28/POPULATION!G29*1000000</f>
        <v>249.02317374002916</v>
      </c>
      <c r="H28" s="13">
        <f>'transport tax mil euro'!H28/POPULATION!H29*1000000</f>
        <v>235.37677401223763</v>
      </c>
      <c r="I28" s="13">
        <f>'transport tax mil euro'!I28/POPULATION!I29*1000000</f>
        <v>226.86441601354142</v>
      </c>
      <c r="J28" s="13">
        <f>'transport tax mil euro'!J28/POPULATION!J29*1000000</f>
        <v>238.00894043735656</v>
      </c>
      <c r="K28" s="13">
        <f>'transport tax mil euro'!K28/POPULATION!K29*1000000</f>
        <v>201.44197945816984</v>
      </c>
      <c r="L28" s="13">
        <f>'transport tax mil euro'!L28/POPULATION!L29*1000000</f>
        <v>211.68804076807692</v>
      </c>
      <c r="M28" s="13">
        <f>'transport tax mil euro'!M28/POPULATION!M29*1000000</f>
        <v>229.3092081708844</v>
      </c>
      <c r="N28" s="13">
        <f>'transport tax mil euro'!N28/POPULATION!N29*1000000</f>
        <v>225.13904776931875</v>
      </c>
      <c r="O28" s="13">
        <f>'transport tax mil euro'!O28/POPULATION!O29*1000000</f>
        <v>236.83771749151612</v>
      </c>
      <c r="P28" s="13">
        <f>'transport tax mil euro'!P28/POPULATION!P29*1000000</f>
        <v>229.77373055002604</v>
      </c>
      <c r="Q28" s="13">
        <f>'transport tax mil euro'!Q28/POPULATION!Q29*1000000</f>
        <v>211.24226197808355</v>
      </c>
      <c r="R28" s="13">
        <f>'transport tax mil euro'!R28/POPULATION!R29*1000000</f>
        <v>224.0782285795527</v>
      </c>
      <c r="S28" s="13">
        <f>'transport tax mil euro'!S28/POPULATION!S29*1000000</f>
        <v>208.79136669971692</v>
      </c>
      <c r="T28" s="13">
        <f>'transport tax mil euro'!T28/POPULATION!T29*1000000</f>
        <v>204.14554979784754</v>
      </c>
      <c r="U28" s="13">
        <f>'transport tax mil euro'!U28/POPULATION!U29*1000000</f>
        <v>221.01757303412774</v>
      </c>
      <c r="V28" s="13">
        <f>'transport tax mil euro'!V28/POPULATION!V29*1000000</f>
        <v>247.46755392486412</v>
      </c>
      <c r="W28" s="13">
        <f>'transport tax mil euro'!W28/POPULATION!W29*1000000</f>
        <v>251.00359180223961</v>
      </c>
      <c r="X28" s="13">
        <f>'transport tax mil euro'!X28/POPULATION!X29*1000000</f>
        <v>269.17006802721085</v>
      </c>
      <c r="Y28" s="13">
        <f>'transport tax mil euro'!Y28/POPULATION!Y29*1000000</f>
        <v>275.31552932901184</v>
      </c>
      <c r="Z28" s="13">
        <f>'transport tax mil euro'!Z28/POPULATION!Z29*1000000</f>
        <v>276.97538176920204</v>
      </c>
      <c r="AA28" s="13">
        <f>'transport tax mil euro'!AA28/POPULATION!AA29*1000000</f>
        <v>237.71741558302821</v>
      </c>
      <c r="AB28" s="13">
        <f>'transport tax mil euro'!AB28/POPULATION!AB29*1000000</f>
        <v>211.13102446112862</v>
      </c>
      <c r="AC28" s="13">
        <f>'transport tax mil euro'!AC28/POPULATION!AC29*1000000</f>
        <v>212.83262908180723</v>
      </c>
      <c r="AD28" s="13">
        <f>'transport tax mil euro'!AD28/POPULATION!AD29*1000000</f>
        <v>239.27637805298761</v>
      </c>
      <c r="AE28" s="13">
        <f>'transport tax mil euro'!AE28/POPULATION!AE29*1000000</f>
        <v>220.80316908720138</v>
      </c>
    </row>
    <row r="29" spans="1:31" ht="11.35" customHeight="1" x14ac:dyDescent="0.45">
      <c r="A29" s="5" t="s">
        <v>61</v>
      </c>
      <c r="B29" s="13">
        <f>'transport tax mil euro'!B29/POPULATION!B30*1000000</f>
        <v>274.80073095894858</v>
      </c>
      <c r="C29" s="13">
        <f>'transport tax mil euro'!C29/POPULATION!C30*1000000</f>
        <v>307.76198280496266</v>
      </c>
      <c r="D29" s="13">
        <f>'transport tax mil euro'!D29/POPULATION!D30*1000000</f>
        <v>277.00201456828171</v>
      </c>
      <c r="E29" s="13">
        <f>'transport tax mil euro'!E29/POPULATION!E30*1000000</f>
        <v>312.35083867631113</v>
      </c>
      <c r="F29" s="13">
        <f>'transport tax mil euro'!F29/POPULATION!F30*1000000</f>
        <v>349.868101502358</v>
      </c>
      <c r="G29" s="13">
        <f>'transport tax mil euro'!G29/POPULATION!G30*1000000</f>
        <v>360.37682922601243</v>
      </c>
      <c r="H29" s="13">
        <f>'transport tax mil euro'!H29/POPULATION!H30*1000000</f>
        <v>357.78902644792748</v>
      </c>
      <c r="I29" s="13">
        <f>'transport tax mil euro'!I29/POPULATION!I30*1000000</f>
        <v>344.11064442510644</v>
      </c>
      <c r="J29" s="13">
        <f>'transport tax mil euro'!J29/POPULATION!J30*1000000</f>
        <v>360.72095279242853</v>
      </c>
      <c r="K29" s="13">
        <f>'transport tax mil euro'!K29/POPULATION!K30*1000000</f>
        <v>382.94917859676991</v>
      </c>
      <c r="L29" s="13">
        <f>'transport tax mil euro'!L29/POPULATION!L30*1000000</f>
        <v>405.69068425023517</v>
      </c>
      <c r="M29" s="13">
        <f>'transport tax mil euro'!M29/POPULATION!M30*1000000</f>
        <v>442.20075534721303</v>
      </c>
      <c r="N29" s="13">
        <f>'transport tax mil euro'!N29/POPULATION!N30*1000000</f>
        <v>465.70508165060846</v>
      </c>
      <c r="O29" s="13">
        <f>'transport tax mil euro'!O29/POPULATION!O30*1000000</f>
        <v>474.47794473026835</v>
      </c>
      <c r="P29" s="13">
        <f>'transport tax mil euro'!P29/POPULATION!P30*1000000</f>
        <v>425.94266200333658</v>
      </c>
      <c r="Q29" s="13">
        <f>'transport tax mil euro'!Q29/POPULATION!Q30*1000000</f>
        <v>431.73482649068421</v>
      </c>
      <c r="R29" s="13">
        <f>'transport tax mil euro'!R29/POPULATION!R30*1000000</f>
        <v>422.19529666514347</v>
      </c>
      <c r="S29" s="13">
        <f>'transport tax mil euro'!S29/POPULATION!S30*1000000</f>
        <v>389.41210308357006</v>
      </c>
      <c r="T29" s="13">
        <f>'transport tax mil euro'!T29/POPULATION!T30*1000000</f>
        <v>365.08672001525667</v>
      </c>
      <c r="U29" s="13">
        <f>'transport tax mil euro'!U29/POPULATION!U30*1000000</f>
        <v>389.4995207462419</v>
      </c>
      <c r="V29" s="13">
        <f>'transport tax mil euro'!V29/POPULATION!V30*1000000</f>
        <v>414.24255975749207</v>
      </c>
      <c r="W29" s="13">
        <f>'transport tax mil euro'!W29/POPULATION!W30*1000000</f>
        <v>421.75330641399557</v>
      </c>
      <c r="X29" s="13">
        <f>'transport tax mil euro'!X29/POPULATION!X30*1000000</f>
        <v>449.49195641813105</v>
      </c>
      <c r="Y29" s="13">
        <f>'transport tax mil euro'!Y29/POPULATION!Y30*1000000</f>
        <v>470.11003496636181</v>
      </c>
      <c r="Z29" s="13">
        <f>'transport tax mil euro'!Z29/POPULATION!Z30*1000000</f>
        <v>476.56071754444162</v>
      </c>
      <c r="AA29" s="13">
        <f>'transport tax mil euro'!AA29/POPULATION!AA30*1000000</f>
        <v>426.76798648405281</v>
      </c>
      <c r="AB29" s="13">
        <f>'transport tax mil euro'!AB29/POPULATION!AB30*1000000</f>
        <v>435.81225395791745</v>
      </c>
      <c r="AC29" s="13">
        <f>'transport tax mil euro'!AC29/POPULATION!AC30*1000000</f>
        <v>442.05246962708418</v>
      </c>
      <c r="AD29" s="13">
        <f>'transport tax mil euro'!AD29/POPULATION!AD30*1000000</f>
        <v>473.35142635084679</v>
      </c>
      <c r="AE29" s="13">
        <f>'transport tax mil euro'!AE29/POPULATION!AE30*1000000</f>
        <v>494.67918917644613</v>
      </c>
    </row>
    <row r="30" spans="1:31" ht="11.35" customHeight="1" x14ac:dyDescent="0.45">
      <c r="A30" s="5" t="s">
        <v>62</v>
      </c>
      <c r="B30" s="13">
        <f>'transport tax mil euro'!B30/POPULATION!B31*1000000</f>
        <v>170.81788619585174</v>
      </c>
      <c r="C30" s="13">
        <f>'transport tax mil euro'!C30/POPULATION!C31*1000000</f>
        <v>171.47724267883069</v>
      </c>
      <c r="D30" s="13">
        <f>'transport tax mil euro'!D30/POPULATION!D31*1000000</f>
        <v>167.30140467642923</v>
      </c>
      <c r="E30" s="13">
        <f>'transport tax mil euro'!E30/POPULATION!E31*1000000</f>
        <v>184.02567469849893</v>
      </c>
      <c r="F30" s="13">
        <f>'transport tax mil euro'!F30/POPULATION!F31*1000000</f>
        <v>192.48324545525497</v>
      </c>
      <c r="G30" s="13">
        <f>'transport tax mil euro'!G30/POPULATION!G31*1000000</f>
        <v>224.33744979184439</v>
      </c>
      <c r="H30" s="13">
        <f>'transport tax mil euro'!H30/POPULATION!H31*1000000</f>
        <v>244.34150286013642</v>
      </c>
      <c r="I30" s="13">
        <f>'transport tax mil euro'!I30/POPULATION!I31*1000000</f>
        <v>254.95929877821925</v>
      </c>
      <c r="J30" s="13">
        <f>'transport tax mil euro'!J30/POPULATION!J31*1000000</f>
        <v>263.13681032725685</v>
      </c>
      <c r="K30" s="13">
        <f>'transport tax mil euro'!K30/POPULATION!K31*1000000</f>
        <v>253.70727410119628</v>
      </c>
      <c r="L30" s="13">
        <f>'transport tax mil euro'!L30/POPULATION!L31*1000000</f>
        <v>262.92349841044637</v>
      </c>
      <c r="M30" s="13">
        <f>'transport tax mil euro'!M30/POPULATION!M31*1000000</f>
        <v>268.22632281994186</v>
      </c>
      <c r="N30" s="13">
        <f>'transport tax mil euro'!N30/POPULATION!N31*1000000</f>
        <v>265.71341922186502</v>
      </c>
      <c r="O30" s="13">
        <f>'transport tax mil euro'!O30/POPULATION!O31*1000000</f>
        <v>268.76901257331946</v>
      </c>
      <c r="P30" s="13">
        <f>'transport tax mil euro'!P30/POPULATION!P31*1000000</f>
        <v>270.47860690632029</v>
      </c>
      <c r="Q30" s="13">
        <f>'transport tax mil euro'!Q30/POPULATION!Q31*1000000</f>
        <v>271.22806853693339</v>
      </c>
      <c r="R30" s="13">
        <f>'transport tax mil euro'!R30/POPULATION!R31*1000000</f>
        <v>291.02713690143861</v>
      </c>
      <c r="S30" s="13">
        <f>'transport tax mil euro'!S30/POPULATION!S31*1000000</f>
        <v>304.76250282316346</v>
      </c>
      <c r="T30" s="13">
        <f>'transport tax mil euro'!T30/POPULATION!T31*1000000</f>
        <v>302.75820943555618</v>
      </c>
      <c r="U30" s="13">
        <f>'transport tax mil euro'!U30/POPULATION!U31*1000000</f>
        <v>337.97159449003533</v>
      </c>
      <c r="V30" s="13">
        <f>'transport tax mil euro'!V30/POPULATION!V31*1000000</f>
        <v>338.7565600448973</v>
      </c>
      <c r="W30" s="13">
        <f>'transport tax mil euro'!W30/POPULATION!W31*1000000</f>
        <v>346.92374700174281</v>
      </c>
      <c r="X30" s="13">
        <f>'transport tax mil euro'!X30/POPULATION!X31*1000000</f>
        <v>366.88926593535865</v>
      </c>
      <c r="Y30" s="13">
        <f>'transport tax mil euro'!Y30/POPULATION!Y31*1000000</f>
        <v>373.45616495170685</v>
      </c>
      <c r="Z30" s="13">
        <f>'transport tax mil euro'!Z30/POPULATION!Z31*1000000</f>
        <v>384.22693882619211</v>
      </c>
      <c r="AA30" s="13">
        <f>'transport tax mil euro'!AA30/POPULATION!AA31*1000000</f>
        <v>370.78937978650646</v>
      </c>
      <c r="AB30" s="13">
        <f>'transport tax mil euro'!AB30/POPULATION!AB31*1000000</f>
        <v>378.27684999682066</v>
      </c>
      <c r="AC30" s="13">
        <f>'transport tax mil euro'!AC30/POPULATION!AC31*1000000</f>
        <v>388.74235446120576</v>
      </c>
      <c r="AD30" s="13">
        <f>'transport tax mil euro'!AD30/POPULATION!AD31*1000000</f>
        <v>400.46911663466142</v>
      </c>
      <c r="AE30" s="13">
        <f>'transport tax mil euro'!AE30/POPULATION!AE31*1000000</f>
        <v>406.41572266957832</v>
      </c>
    </row>
    <row r="31" spans="1:31" ht="11.35" customHeight="1" x14ac:dyDescent="0.45">
      <c r="A31" s="5" t="s">
        <v>63</v>
      </c>
      <c r="B31" s="13">
        <f>'transport tax mil euro'!B31/POPULATION!B32*1000000</f>
        <v>5.199504818445396</v>
      </c>
      <c r="C31" s="13">
        <f>'transport tax mil euro'!C31/POPULATION!C32*1000000</f>
        <v>7.2653293567195902</v>
      </c>
      <c r="D31" s="13">
        <f>'transport tax mil euro'!D31/POPULATION!D32*1000000</f>
        <v>9.0620075533896909</v>
      </c>
      <c r="E31" s="13">
        <f>'transport tax mil euro'!E31/POPULATION!E32*1000000</f>
        <v>4.5768260763928508</v>
      </c>
      <c r="F31" s="13">
        <f>'transport tax mil euro'!F31/POPULATION!F32*1000000</f>
        <v>5.1633198276679622</v>
      </c>
      <c r="G31" s="13">
        <f>'transport tax mil euro'!G31/POPULATION!G32*1000000</f>
        <v>8.7112186838653205</v>
      </c>
      <c r="H31" s="13">
        <f>'transport tax mil euro'!H31/POPULATION!H32*1000000</f>
        <v>12.194556092304703</v>
      </c>
      <c r="I31" s="13">
        <f>'transport tax mil euro'!I31/POPULATION!I32*1000000</f>
        <v>13.374754593727969</v>
      </c>
      <c r="J31" s="13">
        <f>'transport tax mil euro'!J31/POPULATION!J32*1000000</f>
        <v>10.889220205768767</v>
      </c>
      <c r="K31" s="13">
        <f>'transport tax mil euro'!K31/POPULATION!K32*1000000</f>
        <v>18.232231338134234</v>
      </c>
      <c r="L31" s="13">
        <f>'transport tax mil euro'!L31/POPULATION!L32*1000000</f>
        <v>18.108738616384755</v>
      </c>
      <c r="M31" s="13">
        <f>'transport tax mil euro'!M31/POPULATION!M32*1000000</f>
        <v>16.655897579097758</v>
      </c>
      <c r="N31" s="13">
        <f>'transport tax mil euro'!N31/POPULATION!N32*1000000</f>
        <v>19.40303491006631</v>
      </c>
      <c r="O31" s="13">
        <f>'transport tax mil euro'!O31/POPULATION!O32*1000000</f>
        <v>24.053904799869429</v>
      </c>
      <c r="P31" s="13">
        <f>'transport tax mil euro'!P31/POPULATION!P32*1000000</f>
        <v>18.644386194249215</v>
      </c>
      <c r="Q31" s="13">
        <f>'transport tax mil euro'!Q31/POPULATION!Q32*1000000</f>
        <v>19.830171153050024</v>
      </c>
      <c r="R31" s="13">
        <f>'transport tax mil euro'!R31/POPULATION!R32*1000000</f>
        <v>18.885409076671824</v>
      </c>
      <c r="S31" s="13">
        <f>'transport tax mil euro'!S31/POPULATION!S32*1000000</f>
        <v>19.166771403122418</v>
      </c>
      <c r="T31" s="13">
        <f>'transport tax mil euro'!T31/POPULATION!T32*1000000</f>
        <v>20.054103070118686</v>
      </c>
      <c r="U31" s="13">
        <f>'transport tax mil euro'!U31/POPULATION!U32*1000000</f>
        <v>21.80685833519912</v>
      </c>
      <c r="V31" s="13">
        <f>'transport tax mil euro'!V31/POPULATION!V32*1000000</f>
        <v>23.990929340070654</v>
      </c>
      <c r="W31" s="13">
        <f>'transport tax mil euro'!W31/POPULATION!W32*1000000</f>
        <v>25.431945761406904</v>
      </c>
      <c r="X31" s="13">
        <f>'transport tax mil euro'!X31/POPULATION!X32*1000000</f>
        <v>28.017038648866077</v>
      </c>
      <c r="Y31" s="13">
        <f>'transport tax mil euro'!Y31/POPULATION!Y32*1000000</f>
        <v>30.2030032266901</v>
      </c>
      <c r="Z31" s="13">
        <f>'transport tax mil euro'!Z31/POPULATION!Z32*1000000</f>
        <v>31.214701718692833</v>
      </c>
      <c r="AA31" s="13">
        <f>'transport tax mil euro'!AA31/POPULATION!AA32*1000000</f>
        <v>25.15903177337097</v>
      </c>
      <c r="AB31" s="13">
        <f>'transport tax mil euro'!AB31/POPULATION!AB32*1000000</f>
        <v>28.053569575584966</v>
      </c>
      <c r="AC31" s="13">
        <f>'transport tax mil euro'!AC31/POPULATION!AC32*1000000</f>
        <v>28.061716095151716</v>
      </c>
      <c r="AD31" s="13">
        <f>'transport tax mil euro'!AD31/POPULATION!AD32*1000000</f>
        <v>33.725551056904798</v>
      </c>
      <c r="AE31" s="13">
        <f>'transport tax mil euro'!AE31/POPULATION!AE32*1000000</f>
        <v>43.18809687455029</v>
      </c>
    </row>
    <row r="32" spans="1:31" ht="11.35" customHeight="1" x14ac:dyDescent="0.45">
      <c r="A32" s="5" t="s">
        <v>64</v>
      </c>
      <c r="B32" s="13">
        <f>'transport tax mil euro'!B32/POPULATION!B33*1000000</f>
        <v>77.698720677765124</v>
      </c>
      <c r="C32" s="13">
        <f>'transport tax mil euro'!C32/POPULATION!C33*1000000</f>
        <v>89.947990246217202</v>
      </c>
      <c r="D32" s="13">
        <f>'transport tax mil euro'!D32/POPULATION!D33*1000000</f>
        <v>93.859738545343632</v>
      </c>
      <c r="E32" s="13">
        <f>'transport tax mil euro'!E32/POPULATION!E33*1000000</f>
        <v>111.05455646365347</v>
      </c>
      <c r="F32" s="13">
        <f>'transport tax mil euro'!F32/POPULATION!F33*1000000</f>
        <v>131.22391557407479</v>
      </c>
      <c r="G32" s="13">
        <f>'transport tax mil euro'!G32/POPULATION!G33*1000000</f>
        <v>132.87999576935243</v>
      </c>
      <c r="H32" s="13">
        <f>'transport tax mil euro'!H32/POPULATION!H33*1000000</f>
        <v>137.88415079063776</v>
      </c>
      <c r="I32" s="13">
        <f>'transport tax mil euro'!I32/POPULATION!I33*1000000</f>
        <v>131.05948828192604</v>
      </c>
      <c r="J32" s="13">
        <f>'transport tax mil euro'!J32/POPULATION!J33*1000000</f>
        <v>116.63165014009164</v>
      </c>
      <c r="K32" s="13">
        <f>'transport tax mil euro'!K32/POPULATION!K33*1000000</f>
        <v>128.03720024252726</v>
      </c>
      <c r="L32" s="13">
        <f>'transport tax mil euro'!L32/POPULATION!L33*1000000</f>
        <v>134.9703925954046</v>
      </c>
      <c r="M32" s="13">
        <f>'transport tax mil euro'!M32/POPULATION!M33*1000000</f>
        <v>134.71952213035252</v>
      </c>
      <c r="N32" s="13">
        <f>'transport tax mil euro'!N32/POPULATION!N33*1000000</f>
        <v>137.25971242775282</v>
      </c>
      <c r="O32" s="13">
        <f>'transport tax mil euro'!O32/POPULATION!O33*1000000</f>
        <v>113.23619946255872</v>
      </c>
      <c r="P32" s="13">
        <f>'transport tax mil euro'!P32/POPULATION!P33*1000000</f>
        <v>98.021265521374872</v>
      </c>
      <c r="Q32" s="13">
        <f>'transport tax mil euro'!Q32/POPULATION!Q33*1000000</f>
        <v>108.77782043166683</v>
      </c>
      <c r="R32" s="13">
        <f>'transport tax mil euro'!R32/POPULATION!R33*1000000</f>
        <v>95.368070338751963</v>
      </c>
      <c r="S32" s="13">
        <f>'transport tax mil euro'!S32/POPULATION!S33*1000000</f>
        <v>76.902532922307614</v>
      </c>
      <c r="T32" s="13">
        <f>'transport tax mil euro'!T32/POPULATION!T33*1000000</f>
        <v>84.570581429411533</v>
      </c>
      <c r="U32" s="13">
        <f>'transport tax mil euro'!U32/POPULATION!U33*1000000</f>
        <v>97.150618742155842</v>
      </c>
      <c r="V32" s="13">
        <f>'transport tax mil euro'!V32/POPULATION!V33*1000000</f>
        <v>108.01798266706082</v>
      </c>
      <c r="W32" s="13">
        <f>'transport tax mil euro'!W32/POPULATION!W33*1000000</f>
        <v>120.68799564529441</v>
      </c>
      <c r="X32" s="13">
        <f>'transport tax mil euro'!X32/POPULATION!X33*1000000</f>
        <v>132.86992345094649</v>
      </c>
      <c r="Y32" s="13">
        <f>'transport tax mil euro'!Y32/POPULATION!Y33*1000000</f>
        <v>138.84016381943485</v>
      </c>
      <c r="Z32" s="13">
        <f>'transport tax mil euro'!Z32/POPULATION!Z33*1000000</f>
        <v>141.1545521476952</v>
      </c>
      <c r="AA32" s="13">
        <f>'transport tax mil euro'!AA32/POPULATION!AA33*1000000</f>
        <v>108.95103270767042</v>
      </c>
      <c r="AB32" s="13">
        <f>'transport tax mil euro'!AB32/POPULATION!AB33*1000000</f>
        <v>108.50661665719191</v>
      </c>
      <c r="AC32" s="13">
        <f>'transport tax mil euro'!AC32/POPULATION!AC33*1000000</f>
        <v>116.47599772653929</v>
      </c>
      <c r="AD32" s="13">
        <f>'transport tax mil euro'!AD32/POPULATION!AD33*1000000</f>
        <v>124.31844791211931</v>
      </c>
      <c r="AE32" s="13">
        <f>'transport tax mil euro'!AE32/POPULATION!AE33*1000000</f>
        <v>125.60003894837141</v>
      </c>
    </row>
    <row r="33" spans="1:31" ht="11.35" customHeight="1" x14ac:dyDescent="0.45">
      <c r="A33" s="5" t="s">
        <v>65</v>
      </c>
      <c r="B33" s="13">
        <f>'transport tax mil euro'!B33/POPULATION!B34*1000000</f>
        <v>0</v>
      </c>
      <c r="C33" s="13">
        <f>'transport tax mil euro'!C33/POPULATION!C34*1000000</f>
        <v>0</v>
      </c>
      <c r="D33" s="13">
        <f>'transport tax mil euro'!D33/POPULATION!D34*1000000</f>
        <v>0.93924938519241685</v>
      </c>
      <c r="E33" s="13">
        <f>'transport tax mil euro'!E33/POPULATION!E34*1000000</f>
        <v>0.80040511241785262</v>
      </c>
      <c r="F33" s="13">
        <f>'transport tax mil euro'!F33/POPULATION!F34*1000000</f>
        <v>1.8471585263552481</v>
      </c>
      <c r="G33" s="13">
        <f>'transport tax mil euro'!G33/POPULATION!G34*1000000</f>
        <v>1.0888208382050086</v>
      </c>
      <c r="H33" s="13">
        <f>'transport tax mil euro'!H33/POPULATION!H34*1000000</f>
        <v>1.4382230375422131</v>
      </c>
      <c r="I33" s="13">
        <f>'transport tax mil euro'!I33/POPULATION!I34*1000000</f>
        <v>1.580599852071243</v>
      </c>
      <c r="J33" s="13">
        <f>'transport tax mil euro'!J33/POPULATION!J34*1000000</f>
        <v>1.6303310751136433</v>
      </c>
      <c r="K33" s="13">
        <f>'transport tax mil euro'!K33/POPULATION!K34*1000000</f>
        <v>1.8065955793609838</v>
      </c>
      <c r="L33" s="13">
        <f>'transport tax mil euro'!L33/POPULATION!L34*1000000</f>
        <v>2.3210727874021733</v>
      </c>
      <c r="M33" s="13">
        <f>'transport tax mil euro'!M33/POPULATION!M34*1000000</f>
        <v>6.704609903854803</v>
      </c>
      <c r="N33" s="13">
        <f>'transport tax mil euro'!N33/POPULATION!N34*1000000</f>
        <v>20.456209679438299</v>
      </c>
      <c r="O33" s="13">
        <f>'transport tax mil euro'!O33/POPULATION!O34*1000000</f>
        <v>24.401200651693731</v>
      </c>
      <c r="P33" s="13">
        <f>'transport tax mil euro'!P33/POPULATION!P34*1000000</f>
        <v>16.245366381788127</v>
      </c>
      <c r="Q33" s="13">
        <f>'transport tax mil euro'!Q33/POPULATION!Q34*1000000</f>
        <v>19.70171201984283</v>
      </c>
      <c r="R33" s="13">
        <f>'transport tax mil euro'!R33/POPULATION!R34*1000000</f>
        <v>15.554684997949655</v>
      </c>
      <c r="S33" s="13">
        <f>'transport tax mil euro'!S33/POPULATION!S34*1000000</f>
        <v>17.495027367640798</v>
      </c>
      <c r="T33" s="13">
        <f>'transport tax mil euro'!T33/POPULATION!T34*1000000</f>
        <v>19.863562941875241</v>
      </c>
      <c r="U33" s="13">
        <f>'transport tax mil euro'!U33/POPULATION!U34*1000000</f>
        <v>19.727972356775307</v>
      </c>
      <c r="V33" s="13">
        <f>'transport tax mil euro'!V33/POPULATION!V34*1000000</f>
        <v>18.668239640108347</v>
      </c>
      <c r="W33" s="13">
        <f>'transport tax mil euro'!W33/POPULATION!W34*1000000</f>
        <v>20.282294274182672</v>
      </c>
      <c r="X33" s="13">
        <f>'transport tax mil euro'!X33/POPULATION!X34*1000000</f>
        <v>13.145523845536355</v>
      </c>
      <c r="Y33" s="13">
        <f>'transport tax mil euro'!Y33/POPULATION!Y34*1000000</f>
        <v>14.380437362905258</v>
      </c>
      <c r="Z33" s="13">
        <f>'transport tax mil euro'!Z33/POPULATION!Z34*1000000</f>
        <v>16.169908013914167</v>
      </c>
      <c r="AA33" s="13">
        <f>'transport tax mil euro'!AA33/POPULATION!AA34*1000000</f>
        <v>15.954916689766863</v>
      </c>
      <c r="AB33" s="13">
        <f>'transport tax mil euro'!AB33/POPULATION!AB34*1000000</f>
        <v>19.584763027283785</v>
      </c>
      <c r="AC33" s="13">
        <f>'transport tax mil euro'!AC33/POPULATION!AC34*1000000</f>
        <v>20.6925364769955</v>
      </c>
      <c r="AD33" s="13">
        <f>'transport tax mil euro'!AD33/POPULATION!AD34*1000000</f>
        <v>21.845973189090152</v>
      </c>
      <c r="AE33" s="13">
        <f>'transport tax mil euro'!AE33/POPULATION!AE34*1000000</f>
        <v>25.195651508088915</v>
      </c>
    </row>
    <row r="34" spans="1:31" ht="11.35" customHeight="1" x14ac:dyDescent="0.45">
      <c r="A34" s="5" t="s">
        <v>66</v>
      </c>
      <c r="B34" s="13">
        <f>'transport tax mil euro'!B34/POPULATION!B35*1000000</f>
        <v>82.217587838411802</v>
      </c>
      <c r="C34" s="13">
        <f>'transport tax mil euro'!C34/POPULATION!C35*1000000</f>
        <v>83.998822267978255</v>
      </c>
      <c r="D34" s="13">
        <f>'transport tax mil euro'!D34/POPULATION!D35*1000000</f>
        <v>87.277785634444882</v>
      </c>
      <c r="E34" s="13">
        <f>'transport tax mil euro'!E34/POPULATION!E35*1000000</f>
        <v>106.1502133835922</v>
      </c>
      <c r="F34" s="13">
        <f>'transport tax mil euro'!F34/POPULATION!F35*1000000</f>
        <v>90.692471544238728</v>
      </c>
      <c r="G34" s="13">
        <f>'transport tax mil euro'!G34/POPULATION!G35*1000000</f>
        <v>47.319714954810827</v>
      </c>
      <c r="H34" s="13">
        <f>'transport tax mil euro'!H34/POPULATION!H35*1000000</f>
        <v>50.258932492636021</v>
      </c>
      <c r="I34" s="13">
        <f>'transport tax mil euro'!I34/POPULATION!I35*1000000</f>
        <v>51.443662219048299</v>
      </c>
      <c r="J34" s="13">
        <f>'transport tax mil euro'!J34/POPULATION!J35*1000000</f>
        <v>60.339854027477237</v>
      </c>
      <c r="K34" s="13">
        <f>'transport tax mil euro'!K34/POPULATION!K35*1000000</f>
        <v>69.984817922765259</v>
      </c>
      <c r="L34" s="13">
        <f>'transport tax mil euro'!L34/POPULATION!L35*1000000</f>
        <v>71.260869347563812</v>
      </c>
      <c r="M34" s="13">
        <f>'transport tax mil euro'!M34/POPULATION!M35*1000000</f>
        <v>73.376800352208647</v>
      </c>
      <c r="N34" s="13">
        <f>'transport tax mil euro'!N34/POPULATION!N35*1000000</f>
        <v>84.257828258082938</v>
      </c>
      <c r="O34" s="13">
        <f>'transport tax mil euro'!O34/POPULATION!O35*1000000</f>
        <v>87.973301085576097</v>
      </c>
      <c r="P34" s="13">
        <f>'transport tax mil euro'!P34/POPULATION!P35*1000000</f>
        <v>72.398519555079247</v>
      </c>
      <c r="Q34" s="13">
        <f>'transport tax mil euro'!Q34/POPULATION!Q35*1000000</f>
        <v>71.466397261130567</v>
      </c>
      <c r="R34" s="13">
        <f>'transport tax mil euro'!R34/POPULATION!R35*1000000</f>
        <v>70.754452394389006</v>
      </c>
      <c r="S34" s="13">
        <f>'transport tax mil euro'!S34/POPULATION!S35*1000000</f>
        <v>69.973378688160921</v>
      </c>
      <c r="T34" s="13">
        <f>'transport tax mil euro'!T34/POPULATION!T35*1000000</f>
        <v>79.467811917597501</v>
      </c>
      <c r="U34" s="13">
        <f>'transport tax mil euro'!U34/POPULATION!U35*1000000</f>
        <v>82.747679013723371</v>
      </c>
      <c r="V34" s="13">
        <f>'transport tax mil euro'!V34/POPULATION!V35*1000000</f>
        <v>86.02076520427326</v>
      </c>
      <c r="W34" s="13">
        <f>'transport tax mil euro'!W34/POPULATION!W35*1000000</f>
        <v>86.246989130834976</v>
      </c>
      <c r="X34" s="13">
        <f>'transport tax mil euro'!X34/POPULATION!X35*1000000</f>
        <v>90.938794081983843</v>
      </c>
      <c r="Y34" s="13">
        <f>'transport tax mil euro'!Y34/POPULATION!Y35*1000000</f>
        <v>96.299736801362442</v>
      </c>
      <c r="Z34" s="13">
        <f>'transport tax mil euro'!Z34/POPULATION!Z35*1000000</f>
        <v>107.31853594680783</v>
      </c>
      <c r="AA34" s="13">
        <f>'transport tax mil euro'!AA34/POPULATION!AA35*1000000</f>
        <v>100.95135125850427</v>
      </c>
      <c r="AB34" s="13">
        <f>'transport tax mil euro'!AB34/POPULATION!AB35*1000000</f>
        <v>93.433925547789286</v>
      </c>
      <c r="AC34" s="13">
        <f>'transport tax mil euro'!AC34/POPULATION!AC35*1000000</f>
        <v>97.485739234427044</v>
      </c>
      <c r="AD34" s="13">
        <f>'transport tax mil euro'!AD34/POPULATION!AD35*1000000</f>
        <v>100.06273110839446</v>
      </c>
      <c r="AE34" s="13">
        <f>'transport tax mil euro'!AE34/POPULATION!AE35*1000000</f>
        <v>100.70392462342552</v>
      </c>
    </row>
    <row r="35" spans="1:31" ht="11.35" customHeight="1" x14ac:dyDescent="0.45">
      <c r="A35" s="5" t="s">
        <v>67</v>
      </c>
      <c r="B35" s="13">
        <f>'transport tax mil euro'!B35/POPULATION!B36*1000000</f>
        <v>9.6766237749959991</v>
      </c>
      <c r="C35" s="13">
        <f>'transport tax mil euro'!C35/POPULATION!C36*1000000</f>
        <v>10.141976493119142</v>
      </c>
      <c r="D35" s="13">
        <f>'transport tax mil euro'!D35/POPULATION!D36*1000000</f>
        <v>10.991029445994112</v>
      </c>
      <c r="E35" s="13">
        <f>'transport tax mil euro'!E35/POPULATION!E36*1000000</f>
        <v>11.144005271314953</v>
      </c>
      <c r="F35" s="13">
        <f>'transport tax mil euro'!F35/POPULATION!F36*1000000</f>
        <v>9.8732112800465455</v>
      </c>
      <c r="G35" s="13">
        <f>'transport tax mil euro'!G35/POPULATION!G36*1000000</f>
        <v>12.12153318871712</v>
      </c>
      <c r="H35" s="13">
        <f>'transport tax mil euro'!H35/POPULATION!H36*1000000</f>
        <v>12.235109689310761</v>
      </c>
      <c r="I35" s="13">
        <f>'transport tax mil euro'!I35/POPULATION!I36*1000000</f>
        <v>13.03971722367428</v>
      </c>
      <c r="J35" s="13">
        <f>'transport tax mil euro'!J35/POPULATION!J36*1000000</f>
        <v>13.481248766249918</v>
      </c>
      <c r="K35" s="13">
        <f>'transport tax mil euro'!K35/POPULATION!K36*1000000</f>
        <v>14.248283885980223</v>
      </c>
      <c r="L35" s="13">
        <f>'transport tax mil euro'!L35/POPULATION!L36*1000000</f>
        <v>16.701146633387218</v>
      </c>
      <c r="M35" s="13">
        <f>'transport tax mil euro'!M35/POPULATION!M36*1000000</f>
        <v>19.553584190966266</v>
      </c>
      <c r="N35" s="13">
        <f>'transport tax mil euro'!N35/POPULATION!N36*1000000</f>
        <v>25.374173208416618</v>
      </c>
      <c r="O35" s="13">
        <f>'transport tax mil euro'!O35/POPULATION!O36*1000000</f>
        <v>29.739229294889345</v>
      </c>
      <c r="P35" s="13">
        <f>'transport tax mil euro'!P35/POPULATION!P36*1000000</f>
        <v>27.941061990736102</v>
      </c>
      <c r="Q35" s="13">
        <f>'transport tax mil euro'!Q35/POPULATION!Q36*1000000</f>
        <v>28.44681573386811</v>
      </c>
      <c r="R35" s="13">
        <f>'transport tax mil euro'!R35/POPULATION!R36*1000000</f>
        <v>30.915469529041182</v>
      </c>
      <c r="S35" s="13">
        <f>'transport tax mil euro'!S35/POPULATION!S36*1000000</f>
        <v>30.684700134447947</v>
      </c>
      <c r="T35" s="13">
        <f>'transport tax mil euro'!T35/POPULATION!T36*1000000</f>
        <v>36.683795258255842</v>
      </c>
      <c r="U35" s="13">
        <f>'transport tax mil euro'!U35/POPULATION!U36*1000000</f>
        <v>38.338618033515459</v>
      </c>
      <c r="V35" s="13">
        <f>'transport tax mil euro'!V35/POPULATION!V36*1000000</f>
        <v>37.610565193275697</v>
      </c>
      <c r="W35" s="13">
        <f>'transport tax mil euro'!W35/POPULATION!W36*1000000</f>
        <v>39.347601254051597</v>
      </c>
      <c r="X35" s="13">
        <f>'transport tax mil euro'!X35/POPULATION!X36*1000000</f>
        <v>41.081124043137663</v>
      </c>
      <c r="Y35" s="13">
        <f>'transport tax mil euro'!Y35/POPULATION!Y36*1000000</f>
        <v>42.727332853216538</v>
      </c>
      <c r="Z35" s="13">
        <f>'transport tax mil euro'!Z35/POPULATION!Z36*1000000</f>
        <v>42.765503802366823</v>
      </c>
      <c r="AA35" s="13">
        <f>'transport tax mil euro'!AA35/POPULATION!AA36*1000000</f>
        <v>36.673627253693887</v>
      </c>
      <c r="AB35" s="13">
        <f>'transport tax mil euro'!AB35/POPULATION!AB36*1000000</f>
        <v>37.272557269238455</v>
      </c>
      <c r="AC35" s="13">
        <f>'transport tax mil euro'!AC35/POPULATION!AC36*1000000</f>
        <v>37.170322916835332</v>
      </c>
      <c r="AD35" s="13">
        <f>'transport tax mil euro'!AD35/POPULATION!AD36*1000000</f>
        <v>37.046915777948392</v>
      </c>
      <c r="AE35" s="13">
        <f>'transport tax mil euro'!AE35/POPULATION!AE36*1000000</f>
        <v>36.933006457331082</v>
      </c>
    </row>
    <row r="36" spans="1:31" ht="11.35" customHeight="1" x14ac:dyDescent="0.45">
      <c r="A36" s="5" t="s">
        <v>68</v>
      </c>
      <c r="B36" s="13">
        <f>'transport tax mil euro'!B36/POPULATION!B37*1000000</f>
        <v>151.16438251384554</v>
      </c>
      <c r="C36" s="13">
        <f>'transport tax mil euro'!C36/POPULATION!C37*1000000</f>
        <v>189.40647972004518</v>
      </c>
      <c r="D36" s="13">
        <f>'transport tax mil euro'!D36/POPULATION!D37*1000000</f>
        <v>211.5787791875799</v>
      </c>
      <c r="E36" s="13">
        <f>'transport tax mil euro'!E36/POPULATION!E37*1000000</f>
        <v>246.17720694672153</v>
      </c>
      <c r="F36" s="13">
        <f>'transport tax mil euro'!F36/POPULATION!F37*1000000</f>
        <v>278.89510249346563</v>
      </c>
      <c r="G36" s="13">
        <f>'transport tax mil euro'!G36/POPULATION!G37*1000000</f>
        <v>285.42135036785709</v>
      </c>
      <c r="H36" s="13">
        <f>'transport tax mil euro'!H36/POPULATION!H37*1000000</f>
        <v>265.9659166028934</v>
      </c>
      <c r="I36" s="13">
        <f>'transport tax mil euro'!I36/POPULATION!I37*1000000</f>
        <v>288.35968192656605</v>
      </c>
      <c r="J36" s="13">
        <f>'transport tax mil euro'!J36/POPULATION!J37*1000000</f>
        <v>330.75344366771378</v>
      </c>
      <c r="K36" s="13">
        <f>'transport tax mil euro'!K36/POPULATION!K37*1000000</f>
        <v>368.21813840250803</v>
      </c>
      <c r="L36" s="13">
        <f>'transport tax mil euro'!L36/POPULATION!L37*1000000</f>
        <v>354.80962782990758</v>
      </c>
      <c r="M36" s="13">
        <f>'transport tax mil euro'!M36/POPULATION!M37*1000000</f>
        <v>366.08709219534285</v>
      </c>
      <c r="N36" s="13">
        <f>'transport tax mil euro'!N36/POPULATION!N37*1000000</f>
        <v>356.45556954721047</v>
      </c>
      <c r="O36" s="13">
        <f>'transport tax mil euro'!O36/POPULATION!O37*1000000</f>
        <v>322.61204825823455</v>
      </c>
      <c r="P36" s="13">
        <f>'transport tax mil euro'!P36/POPULATION!P37*1000000</f>
        <v>261.34396132109373</v>
      </c>
      <c r="Q36" s="13">
        <f>'transport tax mil euro'!Q36/POPULATION!Q37*1000000</f>
        <v>315.80361649332042</v>
      </c>
      <c r="R36" s="13">
        <f>'transport tax mil euro'!R36/POPULATION!R37*1000000</f>
        <v>350.86570438429578</v>
      </c>
      <c r="S36" s="13">
        <f>'transport tax mil euro'!S36/POPULATION!S37*1000000</f>
        <v>336.95797671176041</v>
      </c>
      <c r="T36" s="13">
        <f>'transport tax mil euro'!T36/POPULATION!T37*1000000</f>
        <v>341.46145502751779</v>
      </c>
      <c r="U36" s="13">
        <f>'transport tax mil euro'!U36/POPULATION!U37*1000000</f>
        <v>338.82012815362287</v>
      </c>
      <c r="V36" s="13">
        <f>'transport tax mil euro'!V36/POPULATION!V37*1000000</f>
        <v>338.83108393233397</v>
      </c>
      <c r="W36" s="13">
        <f>'transport tax mil euro'!W36/POPULATION!W37*1000000</f>
        <v>379.7854977340437</v>
      </c>
      <c r="X36" s="13">
        <f>'transport tax mil euro'!X36/POPULATION!X37*1000000</f>
        <v>395.58104896028686</v>
      </c>
      <c r="Y36" s="13">
        <f>'transport tax mil euro'!Y36/POPULATION!Y37*1000000</f>
        <v>402.31229809563712</v>
      </c>
      <c r="Z36" s="13">
        <f>'transport tax mil euro'!Z36/POPULATION!Z37*1000000</f>
        <v>373.87283140618774</v>
      </c>
      <c r="AA36" s="13">
        <f>'transport tax mil euro'!AA36/POPULATION!AA37*1000000</f>
        <v>345.32111606047249</v>
      </c>
      <c r="AB36" s="13">
        <f>'transport tax mil euro'!AB36/POPULATION!AB37*1000000</f>
        <v>303.22782221886507</v>
      </c>
      <c r="AC36" s="13">
        <f>'transport tax mil euro'!AC36/POPULATION!AC37*1000000</f>
        <v>291.26348332741856</v>
      </c>
      <c r="AD36" s="13">
        <f>'transport tax mil euro'!AD36/POPULATION!AD37*1000000</f>
        <v>264.73902627081026</v>
      </c>
      <c r="AE36" s="13">
        <f>'transport tax mil euro'!AE36/POPULATION!AE37*1000000</f>
        <v>245.90232681061647</v>
      </c>
    </row>
    <row r="37" spans="1:31" ht="11.35" customHeight="1" x14ac:dyDescent="0.45">
      <c r="A37" s="5" t="s">
        <v>69</v>
      </c>
      <c r="B37" s="13">
        <f>'transport tax mil euro'!B37/POPULATION!B38*1000000</f>
        <v>73.049247758235495</v>
      </c>
      <c r="C37" s="13">
        <f>'transport tax mil euro'!C37/POPULATION!C38*1000000</f>
        <v>92.772884989141716</v>
      </c>
      <c r="D37" s="13">
        <f>'transport tax mil euro'!D37/POPULATION!D38*1000000</f>
        <v>88.727467774036711</v>
      </c>
      <c r="E37" s="13">
        <f>'transport tax mil euro'!E37/POPULATION!E38*1000000</f>
        <v>89.878357186250554</v>
      </c>
      <c r="F37" s="13">
        <f>'transport tax mil euro'!F37/POPULATION!F38*1000000</f>
        <v>96.442166887538093</v>
      </c>
      <c r="G37" s="13">
        <f>'transport tax mil euro'!G37/POPULATION!G38*1000000</f>
        <v>105.01582928075008</v>
      </c>
      <c r="H37" s="13">
        <f>'transport tax mil euro'!H37/POPULATION!H38*1000000</f>
        <v>95.655735268820891</v>
      </c>
      <c r="I37" s="13">
        <f>'transport tax mil euro'!I37/POPULATION!I38*1000000</f>
        <v>102.90681646958041</v>
      </c>
      <c r="J37" s="13">
        <f>'transport tax mil euro'!J37/POPULATION!J38*1000000</f>
        <v>105.3721439318324</v>
      </c>
      <c r="K37" s="13">
        <f>'transport tax mil euro'!K37/POPULATION!K38*1000000</f>
        <v>110.6023282941552</v>
      </c>
      <c r="L37" s="13">
        <f>'transport tax mil euro'!L37/POPULATION!L38*1000000</f>
        <v>134.40098932551152</v>
      </c>
      <c r="M37" s="13">
        <f>'transport tax mil euro'!M37/POPULATION!M38*1000000</f>
        <v>143.2908417472097</v>
      </c>
      <c r="N37" s="13">
        <f>'transport tax mil euro'!N37/POPULATION!N38*1000000</f>
        <v>157.51119495477852</v>
      </c>
      <c r="O37" s="13">
        <f>'transport tax mil euro'!O37/POPULATION!O38*1000000</f>
        <v>181.73072703289483</v>
      </c>
      <c r="P37" s="13">
        <f>'transport tax mil euro'!P37/POPULATION!P38*1000000</f>
        <v>166.62296692204819</v>
      </c>
      <c r="Q37" s="13">
        <f>'transport tax mil euro'!Q37/POPULATION!Q38*1000000</f>
        <v>184.09362399876156</v>
      </c>
      <c r="R37" s="13">
        <f>'transport tax mil euro'!R37/POPULATION!R38*1000000</f>
        <v>184.90755206535559</v>
      </c>
      <c r="S37" s="13">
        <f>'transport tax mil euro'!S37/POPULATION!S38*1000000</f>
        <v>189.02429700759953</v>
      </c>
      <c r="T37" s="13">
        <f>'transport tax mil euro'!T37/POPULATION!T38*1000000</f>
        <v>199.60562555482781</v>
      </c>
      <c r="U37" s="13">
        <f>'transport tax mil euro'!U37/POPULATION!U38*1000000</f>
        <v>191.49051764752724</v>
      </c>
      <c r="V37" s="13">
        <f>'transport tax mil euro'!V37/POPULATION!V38*1000000</f>
        <v>205.68862014361846</v>
      </c>
      <c r="W37" s="13">
        <f>'transport tax mil euro'!W37/POPULATION!W38*1000000</f>
        <v>211.17413562477867</v>
      </c>
      <c r="X37" s="13">
        <f>'transport tax mil euro'!X37/POPULATION!X38*1000000</f>
        <v>206.8862777788394</v>
      </c>
      <c r="Y37" s="13">
        <f>'transport tax mil euro'!Y37/POPULATION!Y38*1000000</f>
        <v>203.2718189940517</v>
      </c>
      <c r="Z37" s="13">
        <f>'transport tax mil euro'!Z37/POPULATION!Z38*1000000</f>
        <v>207.11062409917321</v>
      </c>
      <c r="AA37" s="13">
        <f>'transport tax mil euro'!AA37/POPULATION!AA38*1000000</f>
        <v>203.8646193220896</v>
      </c>
      <c r="AB37" s="13">
        <f>'transport tax mil euro'!AB37/POPULATION!AB38*1000000</f>
        <v>218.53796428370134</v>
      </c>
      <c r="AC37" s="13">
        <f>'transport tax mil euro'!AC37/POPULATION!AC38*1000000</f>
        <v>212.83683650892632</v>
      </c>
      <c r="AD37" s="13">
        <f>'transport tax mil euro'!AD37/POPULATION!AD38*1000000</f>
        <v>195.13178469040133</v>
      </c>
      <c r="AE37" s="13">
        <f>'transport tax mil euro'!AE37/POPULATION!AE38*1000000</f>
        <v>193.48054300597997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7A28E-0B93-4F06-9998-54C3F1CEDCD4}">
  <sheetPr codeName="Sheet9">
    <tabColor theme="8"/>
  </sheetPr>
  <dimension ref="A1:AE37"/>
  <sheetViews>
    <sheetView workbookViewId="0">
      <pane xSplit="1" ySplit="9" topLeftCell="B10" activePane="bottomRight" state="frozen"/>
      <selection pane="topRight"/>
      <selection pane="bottomLeft"/>
      <selection pane="bottomRight" activeCell="M36" sqref="M36"/>
    </sheetView>
  </sheetViews>
  <sheetFormatPr defaultRowHeight="11.35" customHeight="1" x14ac:dyDescent="0.45"/>
  <cols>
    <col min="1" max="1" width="29.86328125" customWidth="1"/>
    <col min="2" max="31" width="9.9296875" customWidth="1"/>
  </cols>
  <sheetData>
    <row r="1" spans="1:31" ht="11.35" customHeight="1" x14ac:dyDescent="0.45">
      <c r="A1" s="2" t="s">
        <v>0</v>
      </c>
    </row>
    <row r="2" spans="1:31" ht="11.35" customHeight="1" x14ac:dyDescent="0.45">
      <c r="A2" s="2" t="s">
        <v>1</v>
      </c>
      <c r="B2" s="1" t="s">
        <v>2</v>
      </c>
    </row>
    <row r="3" spans="1:31" ht="11.35" customHeight="1" x14ac:dyDescent="0.45">
      <c r="A3" s="2" t="s">
        <v>3</v>
      </c>
      <c r="B3" s="2" t="s">
        <v>4</v>
      </c>
    </row>
    <row r="5" spans="1:31" ht="11.35" customHeight="1" x14ac:dyDescent="0.45">
      <c r="A5" s="1" t="s">
        <v>5</v>
      </c>
      <c r="B5" s="2" t="s">
        <v>6</v>
      </c>
    </row>
    <row r="6" spans="1:31" ht="11.35" customHeight="1" x14ac:dyDescent="0.45">
      <c r="A6" s="1" t="s">
        <v>7</v>
      </c>
      <c r="B6" s="2" t="s">
        <v>72</v>
      </c>
    </row>
    <row r="7" spans="1:31" ht="11.35" customHeight="1" x14ac:dyDescent="0.45">
      <c r="A7" s="1" t="s">
        <v>9</v>
      </c>
      <c r="B7" s="12" t="s">
        <v>80</v>
      </c>
    </row>
    <row r="9" spans="1:31" ht="11.35" customHeight="1" x14ac:dyDescent="0.45">
      <c r="A9" s="4" t="s">
        <v>11</v>
      </c>
      <c r="B9" s="10">
        <v>1995</v>
      </c>
      <c r="C9" s="10" t="s">
        <v>13</v>
      </c>
      <c r="D9" s="10" t="s">
        <v>14</v>
      </c>
      <c r="E9" s="10" t="s">
        <v>15</v>
      </c>
      <c r="F9" s="10" t="s">
        <v>16</v>
      </c>
      <c r="G9" s="10" t="s">
        <v>17</v>
      </c>
      <c r="H9" s="10" t="s">
        <v>18</v>
      </c>
      <c r="I9" s="10" t="s">
        <v>19</v>
      </c>
      <c r="J9" s="10" t="s">
        <v>20</v>
      </c>
      <c r="K9" s="10" t="s">
        <v>21</v>
      </c>
      <c r="L9" s="10" t="s">
        <v>22</v>
      </c>
      <c r="M9" s="10" t="s">
        <v>23</v>
      </c>
      <c r="N9" s="10" t="s">
        <v>24</v>
      </c>
      <c r="O9" s="10" t="s">
        <v>25</v>
      </c>
      <c r="P9" s="10" t="s">
        <v>26</v>
      </c>
      <c r="Q9" s="10" t="s">
        <v>27</v>
      </c>
      <c r="R9" s="10" t="s">
        <v>28</v>
      </c>
      <c r="S9" s="10" t="s">
        <v>29</v>
      </c>
      <c r="T9" s="10" t="s">
        <v>30</v>
      </c>
      <c r="U9" s="10">
        <v>2014</v>
      </c>
      <c r="V9" s="10" t="s">
        <v>32</v>
      </c>
      <c r="W9" s="10" t="s">
        <v>33</v>
      </c>
      <c r="X9" s="10" t="s">
        <v>34</v>
      </c>
      <c r="Y9" s="10" t="s">
        <v>35</v>
      </c>
      <c r="Z9" s="10" t="s">
        <v>36</v>
      </c>
      <c r="AA9" s="10" t="s">
        <v>37</v>
      </c>
      <c r="AB9" s="10" t="s">
        <v>38</v>
      </c>
      <c r="AC9" s="10" t="s">
        <v>39</v>
      </c>
      <c r="AD9" s="10" t="s">
        <v>40</v>
      </c>
      <c r="AE9" s="10">
        <v>2024</v>
      </c>
    </row>
    <row r="10" spans="1:31" ht="11.35" customHeight="1" x14ac:dyDescent="0.45">
      <c r="A10" s="5" t="s">
        <v>42</v>
      </c>
      <c r="B10" s="13">
        <f>'pol tax mil euro'!B10/POPULATION!B11*1000000</f>
        <v>12.505857443796879</v>
      </c>
      <c r="C10" s="13">
        <f>'pol tax mil euro'!C10/POPULATION!C11*1000000</f>
        <v>14.291668951533595</v>
      </c>
      <c r="D10" s="13">
        <f>'pol tax mil euro'!D10/POPULATION!D11*1000000</f>
        <v>13.987728193479146</v>
      </c>
      <c r="E10" s="13">
        <f>'pol tax mil euro'!E10/POPULATION!E11*1000000</f>
        <v>15.073091965709734</v>
      </c>
      <c r="F10" s="13">
        <f>'pol tax mil euro'!F10/POPULATION!F11*1000000</f>
        <v>15.112888225255883</v>
      </c>
      <c r="G10" s="13">
        <f>'pol tax mil euro'!G10/POPULATION!G11*1000000</f>
        <v>16.967477178548084</v>
      </c>
      <c r="H10" s="13">
        <f>'pol tax mil euro'!H10/POPULATION!H11*1000000</f>
        <v>17.350962296575638</v>
      </c>
      <c r="I10" s="13">
        <f>'pol tax mil euro'!I10/POPULATION!I11*1000000</f>
        <v>18.518085767882614</v>
      </c>
      <c r="J10" s="13">
        <f>'pol tax mil euro'!J10/POPULATION!J11*1000000</f>
        <v>18.206119460270461</v>
      </c>
      <c r="K10" s="13">
        <f>'pol tax mil euro'!K10/POPULATION!K11*1000000</f>
        <v>18.37240627290787</v>
      </c>
      <c r="L10" s="13">
        <f>'pol tax mil euro'!L10/POPULATION!L11*1000000</f>
        <v>18.445303540563508</v>
      </c>
      <c r="M10" s="13">
        <f>'pol tax mil euro'!M10/POPULATION!M11*1000000</f>
        <v>19.900841876850134</v>
      </c>
      <c r="N10" s="13">
        <f>'pol tax mil euro'!N10/POPULATION!N11*1000000</f>
        <v>20.99170359587815</v>
      </c>
      <c r="O10" s="13">
        <f>'pol tax mil euro'!O10/POPULATION!O11*1000000</f>
        <v>22.006613494665661</v>
      </c>
      <c r="P10" s="13">
        <f>'pol tax mil euro'!P10/POPULATION!P11*1000000</f>
        <v>20.58689557362997</v>
      </c>
      <c r="Q10" s="13">
        <f>'pol tax mil euro'!Q10/POPULATION!Q11*1000000</f>
        <v>20.775226373234911</v>
      </c>
      <c r="R10" s="13">
        <f>'pol tax mil euro'!R10/POPULATION!R11*1000000</f>
        <v>21.670250602519346</v>
      </c>
      <c r="S10" s="13">
        <f>'pol tax mil euro'!S10/POPULATION!S11*1000000</f>
        <v>22.429441187735783</v>
      </c>
      <c r="T10" s="13">
        <f>'pol tax mil euro'!T10/POPULATION!T11*1000000</f>
        <v>22.725996266626836</v>
      </c>
      <c r="U10" s="13">
        <f>'pol tax mil euro'!U10/POPULATION!U11*1000000</f>
        <v>23.68766935966832</v>
      </c>
      <c r="V10" s="13">
        <f>'pol tax mil euro'!V10/POPULATION!V11*1000000</f>
        <v>24.576064385096103</v>
      </c>
      <c r="W10" s="13">
        <f>'pol tax mil euro'!W10/POPULATION!W11*1000000</f>
        <v>24.726169357834547</v>
      </c>
      <c r="X10" s="13">
        <f>'pol tax mil euro'!X10/POPULATION!X11*1000000</f>
        <v>25.053938521526511</v>
      </c>
      <c r="Y10" s="13">
        <f>'pol tax mil euro'!Y10/POPULATION!Y11*1000000</f>
        <v>25.122087204150027</v>
      </c>
      <c r="Z10" s="13">
        <f>'pol tax mil euro'!Z10/POPULATION!Z11*1000000</f>
        <v>25.573174814661627</v>
      </c>
      <c r="AA10" s="13">
        <f>'pol tax mil euro'!AA10/POPULATION!AA11*1000000</f>
        <v>25.622305852100887</v>
      </c>
      <c r="AB10" s="13">
        <f>'pol tax mil euro'!AB10/POPULATION!AB11*1000000</f>
        <v>27.237508046557142</v>
      </c>
      <c r="AC10" s="13">
        <f>'pol tax mil euro'!AC10/POPULATION!AC11*1000000</f>
        <v>28.324983003866627</v>
      </c>
      <c r="AD10" s="13">
        <f>'pol tax mil euro'!AD10/POPULATION!AD11*1000000</f>
        <v>32.496786039881805</v>
      </c>
      <c r="AE10" s="13">
        <f>'pol tax mil euro'!AE10/POPULATION!AE11*1000000</f>
        <v>32.879805633834764</v>
      </c>
    </row>
    <row r="11" spans="1:31" ht="11.35" customHeight="1" x14ac:dyDescent="0.45">
      <c r="A11" s="5" t="s">
        <v>43</v>
      </c>
      <c r="B11" s="13">
        <f>'pol tax mil euro'!B11/POPULATION!B12*1000000</f>
        <v>34.188585957715723</v>
      </c>
      <c r="C11" s="13">
        <f>'pol tax mil euro'!C11/POPULATION!C12*1000000</f>
        <v>45.359150953357506</v>
      </c>
      <c r="D11" s="13">
        <f>'pol tax mil euro'!D11/POPULATION!D12*1000000</f>
        <v>51.952631141136884</v>
      </c>
      <c r="E11" s="13">
        <f>'pol tax mil euro'!E11/POPULATION!E12*1000000</f>
        <v>50.305800556186533</v>
      </c>
      <c r="F11" s="13">
        <f>'pol tax mil euro'!F11/POPULATION!F12*1000000</f>
        <v>51.401287205720294</v>
      </c>
      <c r="G11" s="13">
        <f>'pol tax mil euro'!G11/POPULATION!G12*1000000</f>
        <v>47.347980801018842</v>
      </c>
      <c r="H11" s="13">
        <f>'pol tax mil euro'!H11/POPULATION!H12*1000000</f>
        <v>45.374765160988339</v>
      </c>
      <c r="I11" s="13">
        <f>'pol tax mil euro'!I11/POPULATION!I12*1000000</f>
        <v>43.958495498182536</v>
      </c>
      <c r="J11" s="13">
        <f>'pol tax mil euro'!J11/POPULATION!J12*1000000</f>
        <v>45.935415790349872</v>
      </c>
      <c r="K11" s="13">
        <f>'pol tax mil euro'!K11/POPULATION!K12*1000000</f>
        <v>62.45418495461081</v>
      </c>
      <c r="L11" s="13">
        <f>'pol tax mil euro'!L11/POPULATION!L12*1000000</f>
        <v>60.167423394472756</v>
      </c>
      <c r="M11" s="13">
        <f>'pol tax mil euro'!M11/POPULATION!M12*1000000</f>
        <v>49.774615745103738</v>
      </c>
      <c r="N11" s="13">
        <f>'pol tax mil euro'!N11/POPULATION!N12*1000000</f>
        <v>47.134810091781084</v>
      </c>
      <c r="O11" s="13">
        <f>'pol tax mil euro'!O11/POPULATION!O12*1000000</f>
        <v>47.755357571755376</v>
      </c>
      <c r="P11" s="13">
        <f>'pol tax mil euro'!P11/POPULATION!P12*1000000</f>
        <v>47.000487302242703</v>
      </c>
      <c r="Q11" s="13">
        <f>'pol tax mil euro'!Q11/POPULATION!Q12*1000000</f>
        <v>49.041020193442655</v>
      </c>
      <c r="R11" s="13">
        <f>'pol tax mil euro'!R11/POPULATION!R12*1000000</f>
        <v>46.888189575913685</v>
      </c>
      <c r="S11" s="13">
        <f>'pol tax mil euro'!S11/POPULATION!S12*1000000</f>
        <v>46.27168076530922</v>
      </c>
      <c r="T11" s="13">
        <f>'pol tax mil euro'!T11/POPULATION!T12*1000000</f>
        <v>46.606321760133397</v>
      </c>
      <c r="U11" s="13">
        <f>'pol tax mil euro'!U11/POPULATION!U12*1000000</f>
        <v>45.604802501422071</v>
      </c>
      <c r="V11" s="13">
        <f>'pol tax mil euro'!V11/POPULATION!V12*1000000</f>
        <v>44.25450514065956</v>
      </c>
      <c r="W11" s="13">
        <f>'pol tax mil euro'!W11/POPULATION!W12*1000000</f>
        <v>49.535337668242661</v>
      </c>
      <c r="X11" s="13">
        <f>'pol tax mil euro'!X11/POPULATION!X12*1000000</f>
        <v>47.640328207329148</v>
      </c>
      <c r="Y11" s="13">
        <f>'pol tax mil euro'!Y11/POPULATION!Y12*1000000</f>
        <v>51.225638541752843</v>
      </c>
      <c r="Z11" s="13">
        <f>'pol tax mil euro'!Z11/POPULATION!Z12*1000000</f>
        <v>50.115581843127316</v>
      </c>
      <c r="AA11" s="13">
        <f>'pol tax mil euro'!AA11/POPULATION!AA12*1000000</f>
        <v>50.839926265617351</v>
      </c>
      <c r="AB11" s="13">
        <f>'pol tax mil euro'!AB11/POPULATION!AB12*1000000</f>
        <v>47.391695565994539</v>
      </c>
      <c r="AC11" s="13">
        <f>'pol tax mil euro'!AC11/POPULATION!AC12*1000000</f>
        <v>50.165167177485444</v>
      </c>
      <c r="AD11" s="13">
        <f>'pol tax mil euro'!AD11/POPULATION!AD12*1000000</f>
        <v>51.784941167333571</v>
      </c>
      <c r="AE11" s="13">
        <f>'pol tax mil euro'!AE11/POPULATION!AE12*1000000</f>
        <v>50.223845181591145</v>
      </c>
    </row>
    <row r="12" spans="1:31" ht="11.35" customHeight="1" x14ac:dyDescent="0.45">
      <c r="A12" s="5" t="s">
        <v>44</v>
      </c>
      <c r="B12" s="13">
        <f>'pol tax mil euro'!B12/POPULATION!B13*1000000</f>
        <v>7.7129199002588938E-2</v>
      </c>
      <c r="C12" s="13">
        <f>'pol tax mil euro'!C12/POPULATION!C13*1000000</f>
        <v>7.5136721999495518E-2</v>
      </c>
      <c r="D12" s="13">
        <f>'pol tax mil euro'!D12/POPULATION!D13*1000000</f>
        <v>2.0381405636010156E-2</v>
      </c>
      <c r="E12" s="13">
        <f>'pol tax mil euro'!E12/POPULATION!E13*1000000</f>
        <v>6.3984933359088281E-2</v>
      </c>
      <c r="F12" s="13">
        <f>'pol tax mil euro'!F12/POPULATION!F13*1000000</f>
        <v>9.7200964573771947E-2</v>
      </c>
      <c r="G12" s="13">
        <f>'pol tax mil euro'!G12/POPULATION!G13*1000000</f>
        <v>9.2786168414709241E-2</v>
      </c>
      <c r="H12" s="13">
        <f>'pol tax mil euro'!H12/POPULATION!H13*1000000</f>
        <v>0.11657202654210065</v>
      </c>
      <c r="I12" s="13">
        <f>'pol tax mil euro'!I12/POPULATION!I13*1000000</f>
        <v>2.0854474275986918</v>
      </c>
      <c r="J12" s="13">
        <f>'pol tax mil euro'!J12/POPULATION!J13*1000000</f>
        <v>3.4411606371194896</v>
      </c>
      <c r="K12" s="13">
        <f>'pol tax mil euro'!K12/POPULATION!K13*1000000</f>
        <v>4.8159189231656931</v>
      </c>
      <c r="L12" s="13">
        <f>'pol tax mil euro'!L12/POPULATION!L13*1000000</f>
        <v>4.4351533112841617</v>
      </c>
      <c r="M12" s="13">
        <f>'pol tax mil euro'!M12/POPULATION!M13*1000000</f>
        <v>4.1602381113724842</v>
      </c>
      <c r="N12" s="13">
        <f>'pol tax mil euro'!N12/POPULATION!N13*1000000</f>
        <v>3.3343576303902203</v>
      </c>
      <c r="O12" s="13">
        <f>'pol tax mil euro'!O12/POPULATION!O13*1000000</f>
        <v>6.3022063574870026</v>
      </c>
      <c r="P12" s="13">
        <f>'pol tax mil euro'!P12/POPULATION!P13*1000000</f>
        <v>3.7444160190831299</v>
      </c>
      <c r="Q12" s="13">
        <f>'pol tax mil euro'!Q12/POPULATION!Q13*1000000</f>
        <v>3.9006888656958463</v>
      </c>
      <c r="R12" s="13">
        <f>'pol tax mil euro'!R12/POPULATION!R13*1000000</f>
        <v>4.7466351201334263</v>
      </c>
      <c r="S12" s="13">
        <f>'pol tax mil euro'!S12/POPULATION!S13*1000000</f>
        <v>2.7582069280262216</v>
      </c>
      <c r="T12" s="13">
        <f>'pol tax mil euro'!T12/POPULATION!T13*1000000</f>
        <v>4.4192644944378081</v>
      </c>
      <c r="U12" s="13">
        <f>'pol tax mil euro'!U12/POPULATION!U13*1000000</f>
        <v>4.3021007655407066</v>
      </c>
      <c r="V12" s="13">
        <f>'pol tax mil euro'!V12/POPULATION!V13*1000000</f>
        <v>4.3572333915151304</v>
      </c>
      <c r="W12" s="13">
        <f>'pol tax mil euro'!W12/POPULATION!W13*1000000</f>
        <v>4.7097759123785679</v>
      </c>
      <c r="X12" s="13">
        <f>'pol tax mil euro'!X12/POPULATION!X13*1000000</f>
        <v>4.5098063834564703</v>
      </c>
      <c r="Y12" s="13">
        <f>'pol tax mil euro'!Y12/POPULATION!Y13*1000000</f>
        <v>4.726657430397232</v>
      </c>
      <c r="Z12" s="13">
        <f>'pol tax mil euro'!Z12/POPULATION!Z13*1000000</f>
        <v>4.7447719350791555</v>
      </c>
      <c r="AA12" s="13">
        <f>'pol tax mil euro'!AA12/POPULATION!AA13*1000000</f>
        <v>4.0445863508530238</v>
      </c>
      <c r="AB12" s="13">
        <f>'pol tax mil euro'!AB12/POPULATION!AB13*1000000</f>
        <v>4.141077081136177</v>
      </c>
      <c r="AC12" s="13">
        <f>'pol tax mil euro'!AC12/POPULATION!AC13*1000000</f>
        <v>4.0092655839952709</v>
      </c>
      <c r="AD12" s="13">
        <f>'pol tax mil euro'!AD12/POPULATION!AD13*1000000</f>
        <v>4.8218669884346541</v>
      </c>
      <c r="AE12" s="13">
        <f>'pol tax mil euro'!AE12/POPULATION!AE13*1000000</f>
        <v>4.6233942819783351</v>
      </c>
    </row>
    <row r="13" spans="1:31" ht="11.35" customHeight="1" x14ac:dyDescent="0.45">
      <c r="A13" s="5" t="s">
        <v>45</v>
      </c>
      <c r="B13" s="13">
        <f>'pol tax mil euro'!B13/POPULATION!B14*1000000</f>
        <v>8.4204630122379776</v>
      </c>
      <c r="C13" s="13">
        <f>'pol tax mil euro'!C13/POPULATION!C14*1000000</f>
        <v>7.5775015346838543</v>
      </c>
      <c r="D13" s="13">
        <f>'pol tax mil euro'!D13/POPULATION!D14*1000000</f>
        <v>7.065576876124549</v>
      </c>
      <c r="E13" s="13">
        <f>'pol tax mil euro'!E13/POPULATION!E14*1000000</f>
        <v>4.6809801803551272</v>
      </c>
      <c r="F13" s="13">
        <f>'pol tax mil euro'!F13/POPULATION!F14*1000000</f>
        <v>4.0205562478929009</v>
      </c>
      <c r="G13" s="13">
        <f>'pol tax mil euro'!G13/POPULATION!G14*1000000</f>
        <v>3.4082181353009089</v>
      </c>
      <c r="H13" s="13">
        <f>'pol tax mil euro'!H13/POPULATION!H14*1000000</f>
        <v>3.1753239118700529</v>
      </c>
      <c r="I13" s="13">
        <f>'pol tax mil euro'!I13/POPULATION!I14*1000000</f>
        <v>3.5642928437116406</v>
      </c>
      <c r="J13" s="13">
        <f>'pol tax mil euro'!J13/POPULATION!J14*1000000</f>
        <v>3.385773413761231</v>
      </c>
      <c r="K13" s="13">
        <f>'pol tax mil euro'!K13/POPULATION!K14*1000000</f>
        <v>2.857185733845057</v>
      </c>
      <c r="L13" s="13">
        <f>'pol tax mil euro'!L13/POPULATION!L14*1000000</f>
        <v>2.9562142024766502</v>
      </c>
      <c r="M13" s="13">
        <f>'pol tax mil euro'!M13/POPULATION!M14*1000000</f>
        <v>2.7162704403752231</v>
      </c>
      <c r="N13" s="13">
        <f>'pol tax mil euro'!N13/POPULATION!N14*1000000</f>
        <v>3.259141858781637</v>
      </c>
      <c r="O13" s="13">
        <f>'pol tax mil euro'!O13/POPULATION!O14*1000000</f>
        <v>3.0889197018162848</v>
      </c>
      <c r="P13" s="13">
        <f>'pol tax mil euro'!P13/POPULATION!P14*1000000</f>
        <v>4.4917489650417624</v>
      </c>
      <c r="Q13" s="13">
        <f>'pol tax mil euro'!Q13/POPULATION!Q14*1000000</f>
        <v>4.5669659823163409</v>
      </c>
      <c r="R13" s="13">
        <f>'pol tax mil euro'!R13/POPULATION!R14*1000000</f>
        <v>4.3273733253956834</v>
      </c>
      <c r="S13" s="13">
        <f>'pol tax mil euro'!S13/POPULATION!S14*1000000</f>
        <v>3.6219312937243493</v>
      </c>
      <c r="T13" s="13">
        <f>'pol tax mil euro'!T13/POPULATION!T14*1000000</f>
        <v>2.7082218973243468</v>
      </c>
      <c r="U13" s="13">
        <f>'pol tax mil euro'!U13/POPULATION!U14*1000000</f>
        <v>2.7843258530695931</v>
      </c>
      <c r="V13" s="13">
        <f>'pol tax mil euro'!V13/POPULATION!V14*1000000</f>
        <v>2.9397600650960425</v>
      </c>
      <c r="W13" s="13">
        <f>'pol tax mil euro'!W13/POPULATION!W14*1000000</f>
        <v>2.4607150210591535</v>
      </c>
      <c r="X13" s="13">
        <f>'pol tax mil euro'!X13/POPULATION!X14*1000000</f>
        <v>2.1146025738220331</v>
      </c>
      <c r="Y13" s="13">
        <f>'pol tax mil euro'!Y13/POPULATION!Y14*1000000</f>
        <v>2.3590829642259159</v>
      </c>
      <c r="Z13" s="13">
        <f>'pol tax mil euro'!Z13/POPULATION!Z14*1000000</f>
        <v>2.2573193862795544</v>
      </c>
      <c r="AA13" s="13">
        <f>'pol tax mil euro'!AA13/POPULATION!AA14*1000000</f>
        <v>2.792235863698119</v>
      </c>
      <c r="AB13" s="13">
        <f>'pol tax mil euro'!AB13/POPULATION!AB14*1000000</f>
        <v>2.538391262140733</v>
      </c>
      <c r="AC13" s="13">
        <f>'pol tax mil euro'!AC13/POPULATION!AC14*1000000</f>
        <v>2.4266150991940725</v>
      </c>
      <c r="AD13" s="13">
        <f>'pol tax mil euro'!AD13/POPULATION!AD14*1000000</f>
        <v>2.8085817179524528</v>
      </c>
      <c r="AE13" s="13">
        <f>'pol tax mil euro'!AE13/POPULATION!AE14*1000000</f>
        <v>2.2787830527895139</v>
      </c>
    </row>
    <row r="14" spans="1:31" ht="11.35" customHeight="1" x14ac:dyDescent="0.45">
      <c r="A14" s="5" t="s">
        <v>46</v>
      </c>
      <c r="B14" s="13">
        <f>'pol tax mil euro'!B14/POPULATION!B15*1000000</f>
        <v>58.421486744490394</v>
      </c>
      <c r="C14" s="13">
        <f>'pol tax mil euro'!C14/POPULATION!C15*1000000</f>
        <v>81.34789632580447</v>
      </c>
      <c r="D14" s="13">
        <f>'pol tax mil euro'!D14/POPULATION!D15*1000000</f>
        <v>99.921878569230927</v>
      </c>
      <c r="E14" s="13">
        <f>'pol tax mil euro'!E14/POPULATION!E15*1000000</f>
        <v>119.91629618157988</v>
      </c>
      <c r="F14" s="13">
        <f>'pol tax mil euro'!F14/POPULATION!F15*1000000</f>
        <v>126.80346967777072</v>
      </c>
      <c r="G14" s="13">
        <f>'pol tax mil euro'!G14/POPULATION!G15*1000000</f>
        <v>116.6337086915246</v>
      </c>
      <c r="H14" s="13">
        <f>'pol tax mil euro'!H14/POPULATION!H15*1000000</f>
        <v>114.84308342985847</v>
      </c>
      <c r="I14" s="13">
        <f>'pol tax mil euro'!I14/POPULATION!I15*1000000</f>
        <v>119.18923379493977</v>
      </c>
      <c r="J14" s="13">
        <f>'pol tax mil euro'!J14/POPULATION!J15*1000000</f>
        <v>115.65323496375132</v>
      </c>
      <c r="K14" s="13">
        <f>'pol tax mil euro'!K14/POPULATION!K15*1000000</f>
        <v>116.1785521079583</v>
      </c>
      <c r="L14" s="13">
        <f>'pol tax mil euro'!L14/POPULATION!L15*1000000</f>
        <v>116.47622013137068</v>
      </c>
      <c r="M14" s="13">
        <f>'pol tax mil euro'!M14/POPULATION!M15*1000000</f>
        <v>119.58819034837481</v>
      </c>
      <c r="N14" s="13">
        <f>'pol tax mil euro'!N14/POPULATION!N15*1000000</f>
        <v>125.4065477969497</v>
      </c>
      <c r="O14" s="13">
        <f>'pol tax mil euro'!O14/POPULATION!O15*1000000</f>
        <v>121.94037354603198</v>
      </c>
      <c r="P14" s="13">
        <f>'pol tax mil euro'!P14/POPULATION!P15*1000000</f>
        <v>108.71728697216034</v>
      </c>
      <c r="Q14" s="13">
        <f>'pol tax mil euro'!Q14/POPULATION!Q15*1000000</f>
        <v>90.960041830344991</v>
      </c>
      <c r="R14" s="13">
        <f>'pol tax mil euro'!R14/POPULATION!R15*1000000</f>
        <v>91.750428189046261</v>
      </c>
      <c r="S14" s="13">
        <f>'pol tax mil euro'!S14/POPULATION!S15*1000000</f>
        <v>105.32896957915719</v>
      </c>
      <c r="T14" s="13">
        <f>'pol tax mil euro'!T14/POPULATION!T15*1000000</f>
        <v>117.43239065667039</v>
      </c>
      <c r="U14" s="13">
        <f>'pol tax mil euro'!U14/POPULATION!U15*1000000</f>
        <v>101.14203512026776</v>
      </c>
      <c r="V14" s="13">
        <f>'pol tax mil euro'!V14/POPULATION!V15*1000000</f>
        <v>110.38188318669756</v>
      </c>
      <c r="W14" s="13">
        <f>'pol tax mil euro'!W14/POPULATION!W15*1000000</f>
        <v>97.367366530751852</v>
      </c>
      <c r="X14" s="13">
        <f>'pol tax mil euro'!X14/POPULATION!X15*1000000</f>
        <v>88.485030447387956</v>
      </c>
      <c r="Y14" s="13">
        <f>'pol tax mil euro'!Y14/POPULATION!Y15*1000000</f>
        <v>90.875753953770769</v>
      </c>
      <c r="Z14" s="13">
        <f>'pol tax mil euro'!Z14/POPULATION!Z15*1000000</f>
        <v>85.601630428511072</v>
      </c>
      <c r="AA14" s="13">
        <f>'pol tax mil euro'!AA14/POPULATION!AA15*1000000</f>
        <v>88.877050293820986</v>
      </c>
      <c r="AB14" s="13">
        <f>'pol tax mil euro'!AB14/POPULATION!AB15*1000000</f>
        <v>94.084891469158208</v>
      </c>
      <c r="AC14" s="13">
        <f>'pol tax mil euro'!AC14/POPULATION!AC15*1000000</f>
        <v>92.004317756945696</v>
      </c>
      <c r="AD14" s="13">
        <f>'pol tax mil euro'!AD14/POPULATION!AD15*1000000</f>
        <v>88.655094330463243</v>
      </c>
      <c r="AE14" s="13">
        <f>'pol tax mil euro'!AE14/POPULATION!AE15*1000000</f>
        <v>91.685484031953692</v>
      </c>
    </row>
    <row r="15" spans="1:31" ht="11.35" customHeight="1" x14ac:dyDescent="0.45">
      <c r="A15" s="5" t="s">
        <v>47</v>
      </c>
      <c r="B15" s="13">
        <f>'pol tax mil euro'!B15/POPULATION!B16*1000000</f>
        <v>0</v>
      </c>
      <c r="C15" s="13">
        <f>'pol tax mil euro'!C15/POPULATION!C16*1000000</f>
        <v>0</v>
      </c>
      <c r="D15" s="13">
        <f>'pol tax mil euro'!D15/POPULATION!D16*1000000</f>
        <v>0</v>
      </c>
      <c r="E15" s="13">
        <f>'pol tax mil euro'!E15/POPULATION!E16*1000000</f>
        <v>0</v>
      </c>
      <c r="F15" s="13">
        <f>'pol tax mil euro'!F15/POPULATION!F16*1000000</f>
        <v>0</v>
      </c>
      <c r="G15" s="13">
        <f>'pol tax mil euro'!G15/POPULATION!G16*1000000</f>
        <v>0</v>
      </c>
      <c r="H15" s="13">
        <f>'pol tax mil euro'!H15/POPULATION!H16*1000000</f>
        <v>0</v>
      </c>
      <c r="I15" s="13">
        <f>'pol tax mil euro'!I15/POPULATION!I16*1000000</f>
        <v>0</v>
      </c>
      <c r="J15" s="13">
        <f>'pol tax mil euro'!J15/POPULATION!J16*1000000</f>
        <v>0</v>
      </c>
      <c r="K15" s="13">
        <f>'pol tax mil euro'!K15/POPULATION!K16*1000000</f>
        <v>0</v>
      </c>
      <c r="L15" s="13">
        <f>'pol tax mil euro'!L15/POPULATION!L16*1000000</f>
        <v>0</v>
      </c>
      <c r="M15" s="13">
        <f>'pol tax mil euro'!M15/POPULATION!M16*1000000</f>
        <v>0</v>
      </c>
      <c r="N15" s="13">
        <f>'pol tax mil euro'!N15/POPULATION!N16*1000000</f>
        <v>0</v>
      </c>
      <c r="O15" s="13">
        <f>'pol tax mil euro'!O15/POPULATION!O16*1000000</f>
        <v>0</v>
      </c>
      <c r="P15" s="13">
        <f>'pol tax mil euro'!P15/POPULATION!P16*1000000</f>
        <v>0</v>
      </c>
      <c r="Q15" s="13">
        <f>'pol tax mil euro'!Q15/POPULATION!Q16*1000000</f>
        <v>0</v>
      </c>
      <c r="R15" s="13">
        <f>'pol tax mil euro'!R15/POPULATION!R16*1000000</f>
        <v>0</v>
      </c>
      <c r="S15" s="13">
        <f>'pol tax mil euro'!S15/POPULATION!S16*1000000</f>
        <v>0</v>
      </c>
      <c r="T15" s="13">
        <f>'pol tax mil euro'!T15/POPULATION!T16*1000000</f>
        <v>0</v>
      </c>
      <c r="U15" s="13">
        <f>'pol tax mil euro'!U15/POPULATION!U16*1000000</f>
        <v>0</v>
      </c>
      <c r="V15" s="13">
        <f>'pol tax mil euro'!V15/POPULATION!V16*1000000</f>
        <v>0</v>
      </c>
      <c r="W15" s="13">
        <f>'pol tax mil euro'!W15/POPULATION!W16*1000000</f>
        <v>0</v>
      </c>
      <c r="X15" s="13">
        <f>'pol tax mil euro'!X15/POPULATION!X16*1000000</f>
        <v>0</v>
      </c>
      <c r="Y15" s="13">
        <f>'pol tax mil euro'!Y15/POPULATION!Y16*1000000</f>
        <v>0</v>
      </c>
      <c r="Z15" s="13">
        <f>'pol tax mil euro'!Z15/POPULATION!Z16*1000000</f>
        <v>0</v>
      </c>
      <c r="AA15" s="13">
        <f>'pol tax mil euro'!AA15/POPULATION!AA16*1000000</f>
        <v>0</v>
      </c>
      <c r="AB15" s="13">
        <f>'pol tax mil euro'!AB15/POPULATION!AB16*1000000</f>
        <v>0</v>
      </c>
      <c r="AC15" s="13">
        <f>'pol tax mil euro'!AC15/POPULATION!AC16*1000000</f>
        <v>0</v>
      </c>
      <c r="AD15" s="13">
        <f>'pol tax mil euro'!AD15/POPULATION!AD16*1000000</f>
        <v>0</v>
      </c>
      <c r="AE15" s="13">
        <f>'pol tax mil euro'!AE15/POPULATION!AE16*1000000</f>
        <v>0</v>
      </c>
    </row>
    <row r="16" spans="1:31" ht="11.35" customHeight="1" x14ac:dyDescent="0.45">
      <c r="A16" s="5" t="s">
        <v>48</v>
      </c>
      <c r="B16" s="13">
        <f>'pol tax mil euro'!B16/POPULATION!B17*1000000</f>
        <v>2.6310791913402274</v>
      </c>
      <c r="C16" s="13">
        <f>'pol tax mil euro'!C16/POPULATION!C17*1000000</f>
        <v>3.3258676725662228</v>
      </c>
      <c r="D16" s="13">
        <f>'pol tax mil euro'!D16/POPULATION!D17*1000000</f>
        <v>4.6870688110065748</v>
      </c>
      <c r="E16" s="13">
        <f>'pol tax mil euro'!E16/POPULATION!E17*1000000</f>
        <v>5.1540693459213225</v>
      </c>
      <c r="F16" s="13">
        <f>'pol tax mil euro'!F16/POPULATION!F17*1000000</f>
        <v>5.6770518772335716</v>
      </c>
      <c r="G16" s="13">
        <f>'pol tax mil euro'!G16/POPULATION!G17*1000000</f>
        <v>10.904549509366637</v>
      </c>
      <c r="H16" s="13">
        <f>'pol tax mil euro'!H16/POPULATION!H17*1000000</f>
        <v>15.344074903785398</v>
      </c>
      <c r="I16" s="13">
        <f>'pol tax mil euro'!I16/POPULATION!I17*1000000</f>
        <v>16.248527296513938</v>
      </c>
      <c r="J16" s="13">
        <f>'pol tax mil euro'!J16/POPULATION!J17*1000000</f>
        <v>19.510031341123771</v>
      </c>
      <c r="K16" s="13">
        <f>'pol tax mil euro'!K16/POPULATION!K17*1000000</f>
        <v>16.834400731930465</v>
      </c>
      <c r="L16" s="13">
        <f>'pol tax mil euro'!L16/POPULATION!L17*1000000</f>
        <v>23.497810648710306</v>
      </c>
      <c r="M16" s="13">
        <f>'pol tax mil euro'!M16/POPULATION!M17*1000000</f>
        <v>32.227733767676021</v>
      </c>
      <c r="N16" s="13">
        <f>'pol tax mil euro'!N16/POPULATION!N17*1000000</f>
        <v>40.635331963184704</v>
      </c>
      <c r="O16" s="13">
        <f>'pol tax mil euro'!O16/POPULATION!O17*1000000</f>
        <v>40.890887899345501</v>
      </c>
      <c r="P16" s="13">
        <f>'pol tax mil euro'!P16/POPULATION!P17*1000000</f>
        <v>40.08265081527842</v>
      </c>
      <c r="Q16" s="13">
        <f>'pol tax mil euro'!Q16/POPULATION!Q17*1000000</f>
        <v>33.901101785808038</v>
      </c>
      <c r="R16" s="13">
        <f>'pol tax mil euro'!R16/POPULATION!R17*1000000</f>
        <v>36.610862927364892</v>
      </c>
      <c r="S16" s="13">
        <f>'pol tax mil euro'!S16/POPULATION!S17*1000000</f>
        <v>34.982949962157143</v>
      </c>
      <c r="T16" s="13">
        <f>'pol tax mil euro'!T16/POPULATION!T17*1000000</f>
        <v>39.964428931337835</v>
      </c>
      <c r="U16" s="13">
        <f>'pol tax mil euro'!U16/POPULATION!U17*1000000</f>
        <v>44.063811208076487</v>
      </c>
      <c r="V16" s="13">
        <f>'pol tax mil euro'!V16/POPULATION!V17*1000000</f>
        <v>45.2059899457741</v>
      </c>
      <c r="W16" s="13">
        <f>'pol tax mil euro'!W16/POPULATION!W17*1000000</f>
        <v>49.682965232563085</v>
      </c>
      <c r="X16" s="13">
        <f>'pol tax mil euro'!X16/POPULATION!X17*1000000</f>
        <v>52.005305422856644</v>
      </c>
      <c r="Y16" s="13">
        <f>'pol tax mil euro'!Y16/POPULATION!Y17*1000000</f>
        <v>54.566143065179936</v>
      </c>
      <c r="Z16" s="13">
        <f>'pol tax mil euro'!Z16/POPULATION!Z17*1000000</f>
        <v>44.624930179194152</v>
      </c>
      <c r="AA16" s="13">
        <f>'pol tax mil euro'!AA16/POPULATION!AA17*1000000</f>
        <v>33.589771372846464</v>
      </c>
      <c r="AB16" s="13">
        <f>'pol tax mil euro'!AB16/POPULATION!AB17*1000000</f>
        <v>36.61466932517736</v>
      </c>
      <c r="AC16" s="13">
        <f>'pol tax mil euro'!AC16/POPULATION!AC17*1000000</f>
        <v>44.556373498643936</v>
      </c>
      <c r="AD16" s="13">
        <f>'pol tax mil euro'!AD16/POPULATION!AD17*1000000</f>
        <v>38.180401849644625</v>
      </c>
      <c r="AE16" s="13">
        <f>'pol tax mil euro'!AE16/POPULATION!AE17*1000000</f>
        <v>37.521268477842597</v>
      </c>
    </row>
    <row r="17" spans="1:31" ht="11.35" customHeight="1" x14ac:dyDescent="0.45">
      <c r="A17" s="5" t="s">
        <v>49</v>
      </c>
      <c r="B17" s="13">
        <f>'pol tax mil euro'!B17/POPULATION!B18*1000000</f>
        <v>0</v>
      </c>
      <c r="C17" s="13">
        <f>'pol tax mil euro'!C17/POPULATION!C18*1000000</f>
        <v>0</v>
      </c>
      <c r="D17" s="13">
        <f>'pol tax mil euro'!D17/POPULATION!D18*1000000</f>
        <v>0</v>
      </c>
      <c r="E17" s="13">
        <f>'pol tax mil euro'!E17/POPULATION!E18*1000000</f>
        <v>0</v>
      </c>
      <c r="F17" s="13">
        <f>'pol tax mil euro'!F17/POPULATION!F18*1000000</f>
        <v>0</v>
      </c>
      <c r="G17" s="13">
        <f>'pol tax mil euro'!G17/POPULATION!G18*1000000</f>
        <v>0.30178170329299431</v>
      </c>
      <c r="H17" s="13">
        <f>'pol tax mil euro'!H17/POPULATION!H18*1000000</f>
        <v>0.30265214597330453</v>
      </c>
      <c r="I17" s="13">
        <f>'pol tax mil euro'!I17/POPULATION!I18*1000000</f>
        <v>7.5749377772968298</v>
      </c>
      <c r="J17" s="13">
        <f>'pol tax mil euro'!J17/POPULATION!J18*1000000</f>
        <v>10.940441568027373</v>
      </c>
      <c r="K17" s="13">
        <f>'pol tax mil euro'!K17/POPULATION!K18*1000000</f>
        <v>10.705285452353538</v>
      </c>
      <c r="L17" s="13">
        <f>'pol tax mil euro'!L17/POPULATION!L18*1000000</f>
        <v>11.270354250047184</v>
      </c>
      <c r="M17" s="13">
        <f>'pol tax mil euro'!M17/POPULATION!M18*1000000</f>
        <v>12.297547904592891</v>
      </c>
      <c r="N17" s="13">
        <f>'pol tax mil euro'!N17/POPULATION!N18*1000000</f>
        <v>12.995038383749012</v>
      </c>
      <c r="O17" s="13">
        <f>'pol tax mil euro'!O17/POPULATION!O18*1000000</f>
        <v>13.86793606212979</v>
      </c>
      <c r="P17" s="13">
        <f>'pol tax mil euro'!P17/POPULATION!P18*1000000</f>
        <v>12.578179567834363</v>
      </c>
      <c r="Q17" s="13">
        <f>'pol tax mil euro'!Q17/POPULATION!Q18*1000000</f>
        <v>13.480815610226164</v>
      </c>
      <c r="R17" s="13">
        <f>'pol tax mil euro'!R17/POPULATION!R18*1000000</f>
        <v>13.855097080847216</v>
      </c>
      <c r="S17" s="13">
        <f>'pol tax mil euro'!S17/POPULATION!S18*1000000</f>
        <v>14.588322761248099</v>
      </c>
      <c r="T17" s="13">
        <f>'pol tax mil euro'!T17/POPULATION!T18*1000000</f>
        <v>12.879142362356198</v>
      </c>
      <c r="U17" s="13">
        <f>'pol tax mil euro'!U17/POPULATION!U18*1000000</f>
        <v>10.256903411320584</v>
      </c>
      <c r="V17" s="13">
        <f>'pol tax mil euro'!V17/POPULATION!V18*1000000</f>
        <v>10.094862202565531</v>
      </c>
      <c r="W17" s="13">
        <f>'pol tax mil euro'!W17/POPULATION!W18*1000000</f>
        <v>12.331035404967031</v>
      </c>
      <c r="X17" s="13">
        <f>'pol tax mil euro'!X17/POPULATION!X18*1000000</f>
        <v>9.493333933438727</v>
      </c>
      <c r="Y17" s="13">
        <f>'pol tax mil euro'!Y17/POPULATION!Y18*1000000</f>
        <v>5.3874461384099996</v>
      </c>
      <c r="Z17" s="13">
        <f>'pol tax mil euro'!Z17/POPULATION!Z18*1000000</f>
        <v>3.7811384748854882</v>
      </c>
      <c r="AA17" s="13">
        <f>'pol tax mil euro'!AA17/POPULATION!AA18*1000000</f>
        <v>2.2124246897817499</v>
      </c>
      <c r="AB17" s="13">
        <f>'pol tax mil euro'!AB17/POPULATION!AB18*1000000</f>
        <v>2.6367243200122834</v>
      </c>
      <c r="AC17" s="13">
        <f>'pol tax mil euro'!AC17/POPULATION!AC18*1000000</f>
        <v>3.5834317790836621</v>
      </c>
      <c r="AD17" s="13">
        <f>'pol tax mil euro'!AD17/POPULATION!AD18*1000000</f>
        <v>1.7813121574080486</v>
      </c>
      <c r="AE17" s="13">
        <f>'pol tax mil euro'!AE17/POPULATION!AE18*1000000</f>
        <v>5.5459209919275834</v>
      </c>
    </row>
    <row r="18" spans="1:31" ht="11.35" customHeight="1" x14ac:dyDescent="0.45">
      <c r="A18" s="5" t="s">
        <v>50</v>
      </c>
      <c r="B18" s="13">
        <f>'pol tax mil euro'!B18/POPULATION!B19*1000000</f>
        <v>0</v>
      </c>
      <c r="C18" s="13">
        <f>'pol tax mil euro'!C18/POPULATION!C19*1000000</f>
        <v>0</v>
      </c>
      <c r="D18" s="13">
        <f>'pol tax mil euro'!D18/POPULATION!D19*1000000</f>
        <v>0</v>
      </c>
      <c r="E18" s="13">
        <f>'pol tax mil euro'!E18/POPULATION!E19*1000000</f>
        <v>0</v>
      </c>
      <c r="F18" s="13">
        <f>'pol tax mil euro'!F18/POPULATION!F19*1000000</f>
        <v>0</v>
      </c>
      <c r="G18" s="13">
        <f>'pol tax mil euro'!G18/POPULATION!G19*1000000</f>
        <v>0</v>
      </c>
      <c r="H18" s="13">
        <f>'pol tax mil euro'!H18/POPULATION!H19*1000000</f>
        <v>0</v>
      </c>
      <c r="I18" s="13">
        <f>'pol tax mil euro'!I18/POPULATION!I19*1000000</f>
        <v>0</v>
      </c>
      <c r="J18" s="13">
        <f>'pol tax mil euro'!J18/POPULATION!J19*1000000</f>
        <v>0</v>
      </c>
      <c r="K18" s="13">
        <f>'pol tax mil euro'!K18/POPULATION!K19*1000000</f>
        <v>0</v>
      </c>
      <c r="L18" s="13">
        <f>'pol tax mil euro'!L18/POPULATION!L19*1000000</f>
        <v>0</v>
      </c>
      <c r="M18" s="13">
        <f>'pol tax mil euro'!M18/POPULATION!M19*1000000</f>
        <v>0</v>
      </c>
      <c r="N18" s="13">
        <f>'pol tax mil euro'!N18/POPULATION!N19*1000000</f>
        <v>0</v>
      </c>
      <c r="O18" s="13">
        <f>'pol tax mil euro'!O18/POPULATION!O19*1000000</f>
        <v>0</v>
      </c>
      <c r="P18" s="13">
        <f>'pol tax mil euro'!P18/POPULATION!P19*1000000</f>
        <v>0</v>
      </c>
      <c r="Q18" s="13">
        <f>'pol tax mil euro'!Q18/POPULATION!Q19*1000000</f>
        <v>0</v>
      </c>
      <c r="R18" s="13">
        <f>'pol tax mil euro'!R18/POPULATION!R19*1000000</f>
        <v>0</v>
      </c>
      <c r="S18" s="13">
        <f>'pol tax mil euro'!S18/POPULATION!S19*1000000</f>
        <v>0</v>
      </c>
      <c r="T18" s="13">
        <f>'pol tax mil euro'!T18/POPULATION!T19*1000000</f>
        <v>0</v>
      </c>
      <c r="U18" s="13">
        <f>'pol tax mil euro'!U18/POPULATION!U19*1000000</f>
        <v>0</v>
      </c>
      <c r="V18" s="13">
        <f>'pol tax mil euro'!V18/POPULATION!V19*1000000</f>
        <v>0</v>
      </c>
      <c r="W18" s="13">
        <f>'pol tax mil euro'!W18/POPULATION!W19*1000000</f>
        <v>0</v>
      </c>
      <c r="X18" s="13">
        <f>'pol tax mil euro'!X18/POPULATION!X19*1000000</f>
        <v>0</v>
      </c>
      <c r="Y18" s="13">
        <f>'pol tax mil euro'!Y18/POPULATION!Y19*1000000</f>
        <v>1.6873941160192198</v>
      </c>
      <c r="Z18" s="13">
        <f>'pol tax mil euro'!Z18/POPULATION!Z19*1000000</f>
        <v>0.84624539254643982</v>
      </c>
      <c r="AA18" s="13">
        <f>'pol tax mil euro'!AA18/POPULATION!AA19*1000000</f>
        <v>0.37691078455770133</v>
      </c>
      <c r="AB18" s="13">
        <f>'pol tax mil euro'!AB18/POPULATION!AB19*1000000</f>
        <v>1.2316036312980421</v>
      </c>
      <c r="AC18" s="13">
        <f>'pol tax mil euro'!AC18/POPULATION!AC19*1000000</f>
        <v>6.9778821210123434</v>
      </c>
      <c r="AD18" s="13">
        <f>'pol tax mil euro'!AD18/POPULATION!AD19*1000000</f>
        <v>2.7879607778141384</v>
      </c>
      <c r="AE18" s="13">
        <f>'pol tax mil euro'!AE18/POPULATION!AE19*1000000</f>
        <v>2.8913533499798185</v>
      </c>
    </row>
    <row r="19" spans="1:31" ht="11.35" customHeight="1" x14ac:dyDescent="0.45">
      <c r="A19" s="5" t="s">
        <v>51</v>
      </c>
      <c r="B19" s="13">
        <f>'pol tax mil euro'!B19/POPULATION!B20*1000000</f>
        <v>0.72099388376196138</v>
      </c>
      <c r="C19" s="13">
        <f>'pol tax mil euro'!C19/POPULATION!C20*1000000</f>
        <v>0.93598397161361069</v>
      </c>
      <c r="D19" s="13">
        <f>'pol tax mil euro'!D19/POPULATION!D20*1000000</f>
        <v>1.0540054847813543</v>
      </c>
      <c r="E19" s="13">
        <f>'pol tax mil euro'!E19/POPULATION!E20*1000000</f>
        <v>2.4544477979458117</v>
      </c>
      <c r="F19" s="13">
        <f>'pol tax mil euro'!F19/POPULATION!F20*1000000</f>
        <v>2.9774038864251424</v>
      </c>
      <c r="G19" s="13">
        <f>'pol tax mil euro'!G19/POPULATION!G20*1000000</f>
        <v>3.0392746936497592</v>
      </c>
      <c r="H19" s="13">
        <f>'pol tax mil euro'!H19/POPULATION!H20*1000000</f>
        <v>3.2459911701662918</v>
      </c>
      <c r="I19" s="13">
        <f>'pol tax mil euro'!I19/POPULATION!I20*1000000</f>
        <v>3.679760619630748</v>
      </c>
      <c r="J19" s="13">
        <f>'pol tax mil euro'!J19/POPULATION!J20*1000000</f>
        <v>4.5663368974509275</v>
      </c>
      <c r="K19" s="13">
        <f>'pol tax mil euro'!K19/POPULATION!K20*1000000</f>
        <v>4.1600611984957689</v>
      </c>
      <c r="L19" s="13">
        <f>'pol tax mil euro'!L19/POPULATION!L20*1000000</f>
        <v>4.0419122744283822</v>
      </c>
      <c r="M19" s="13">
        <f>'pol tax mil euro'!M19/POPULATION!M20*1000000</f>
        <v>4.4762583460916163</v>
      </c>
      <c r="N19" s="13">
        <f>'pol tax mil euro'!N19/POPULATION!N20*1000000</f>
        <v>4.6667759004834375</v>
      </c>
      <c r="O19" s="13">
        <f>'pol tax mil euro'!O19/POPULATION!O20*1000000</f>
        <v>5.1895227957890597</v>
      </c>
      <c r="P19" s="13">
        <f>'pol tax mil euro'!P19/POPULATION!P20*1000000</f>
        <v>4.1306877813585006</v>
      </c>
      <c r="Q19" s="13">
        <f>'pol tax mil euro'!Q19/POPULATION!Q20*1000000</f>
        <v>5.2918453802802903</v>
      </c>
      <c r="R19" s="13">
        <f>'pol tax mil euro'!R19/POPULATION!R20*1000000</f>
        <v>5.5499396642273648</v>
      </c>
      <c r="S19" s="13">
        <f>'pol tax mil euro'!S19/POPULATION!S20*1000000</f>
        <v>7.7320326943662669</v>
      </c>
      <c r="T19" s="13">
        <f>'pol tax mil euro'!T19/POPULATION!T20*1000000</f>
        <v>17.361464185825469</v>
      </c>
      <c r="U19" s="13">
        <f>'pol tax mil euro'!U19/POPULATION!U20*1000000</f>
        <v>15.506795632735761</v>
      </c>
      <c r="V19" s="13">
        <f>'pol tax mil euro'!V19/POPULATION!V20*1000000</f>
        <v>19.708901888483286</v>
      </c>
      <c r="W19" s="13">
        <f>'pol tax mil euro'!W19/POPULATION!W20*1000000</f>
        <v>20.832038960695396</v>
      </c>
      <c r="X19" s="13">
        <f>'pol tax mil euro'!X19/POPULATION!X20*1000000</f>
        <v>21.721647921207108</v>
      </c>
      <c r="Y19" s="13">
        <f>'pol tax mil euro'!Y19/POPULATION!Y20*1000000</f>
        <v>22.21027859964622</v>
      </c>
      <c r="Z19" s="13">
        <f>'pol tax mil euro'!Z19/POPULATION!Z20*1000000</f>
        <v>22.762657246961897</v>
      </c>
      <c r="AA19" s="13">
        <f>'pol tax mil euro'!AA19/POPULATION!AA20*1000000</f>
        <v>22.105729209043908</v>
      </c>
      <c r="AB19" s="13">
        <f>'pol tax mil euro'!AB19/POPULATION!AB20*1000000</f>
        <v>24.598741987423924</v>
      </c>
      <c r="AC19" s="13">
        <f>'pol tax mil euro'!AC19/POPULATION!AC20*1000000</f>
        <v>22.679966322461151</v>
      </c>
      <c r="AD19" s="13">
        <f>'pol tax mil euro'!AD19/POPULATION!AD20*1000000</f>
        <v>44.878523424208041</v>
      </c>
      <c r="AE19" s="13">
        <f>'pol tax mil euro'!AE19/POPULATION!AE20*1000000</f>
        <v>47.120822127740624</v>
      </c>
    </row>
    <row r="20" spans="1:31" ht="11.35" customHeight="1" x14ac:dyDescent="0.45">
      <c r="A20" s="5" t="s">
        <v>52</v>
      </c>
      <c r="B20" s="13">
        <f>'pol tax mil euro'!B20/POPULATION!B21*1000000</f>
        <v>29.744177114716027</v>
      </c>
      <c r="C20" s="13">
        <f>'pol tax mil euro'!C20/POPULATION!C21*1000000</f>
        <v>33.113641430874218</v>
      </c>
      <c r="D20" s="13">
        <f>'pol tax mil euro'!D20/POPULATION!D21*1000000</f>
        <v>26.32488093285939</v>
      </c>
      <c r="E20" s="13">
        <f>'pol tax mil euro'!E20/POPULATION!E21*1000000</f>
        <v>26.907702032092029</v>
      </c>
      <c r="F20" s="13">
        <f>'pol tax mil euro'!F20/POPULATION!F21*1000000</f>
        <v>28.807218420701847</v>
      </c>
      <c r="G20" s="13">
        <f>'pol tax mil euro'!G20/POPULATION!G21*1000000</f>
        <v>33.264501910660798</v>
      </c>
      <c r="H20" s="13">
        <f>'pol tax mil euro'!H20/POPULATION!H21*1000000</f>
        <v>35.356251542018803</v>
      </c>
      <c r="I20" s="13">
        <f>'pol tax mil euro'!I20/POPULATION!I21*1000000</f>
        <v>38.616804665847745</v>
      </c>
      <c r="J20" s="13">
        <f>'pol tax mil euro'!J20/POPULATION!J21*1000000</f>
        <v>35.448675813341019</v>
      </c>
      <c r="K20" s="13">
        <f>'pol tax mil euro'!K20/POPULATION!K21*1000000</f>
        <v>34.193664665234955</v>
      </c>
      <c r="L20" s="13">
        <f>'pol tax mil euro'!L20/POPULATION!L21*1000000</f>
        <v>33.820343087706519</v>
      </c>
      <c r="M20" s="13">
        <f>'pol tax mil euro'!M20/POPULATION!M21*1000000</f>
        <v>34.730550002384163</v>
      </c>
      <c r="N20" s="13">
        <f>'pol tax mil euro'!N20/POPULATION!N21*1000000</f>
        <v>37.897675177172026</v>
      </c>
      <c r="O20" s="13">
        <f>'pol tax mil euro'!O20/POPULATION!O21*1000000</f>
        <v>38.589412911764462</v>
      </c>
      <c r="P20" s="13">
        <f>'pol tax mil euro'!P20/POPULATION!P21*1000000</f>
        <v>35.804070058743854</v>
      </c>
      <c r="Q20" s="13">
        <f>'pol tax mil euro'!Q20/POPULATION!Q21*1000000</f>
        <v>35.292922596712813</v>
      </c>
      <c r="R20" s="13">
        <f>'pol tax mil euro'!R20/POPULATION!R21*1000000</f>
        <v>39.73608529475365</v>
      </c>
      <c r="S20" s="13">
        <f>'pol tax mil euro'!S20/POPULATION!S21*1000000</f>
        <v>43.828618733803921</v>
      </c>
      <c r="T20" s="13">
        <f>'pol tax mil euro'!T20/POPULATION!T21*1000000</f>
        <v>44.786346414310287</v>
      </c>
      <c r="U20" s="13">
        <f>'pol tax mil euro'!U20/POPULATION!U21*1000000</f>
        <v>45.18938584450801</v>
      </c>
      <c r="V20" s="13">
        <f>'pol tax mil euro'!V20/POPULATION!V21*1000000</f>
        <v>43.154976034317414</v>
      </c>
      <c r="W20" s="13">
        <f>'pol tax mil euro'!W20/POPULATION!W21*1000000</f>
        <v>43.413413147985523</v>
      </c>
      <c r="X20" s="13">
        <f>'pol tax mil euro'!X20/POPULATION!X21*1000000</f>
        <v>43.661248820083564</v>
      </c>
      <c r="Y20" s="13">
        <f>'pol tax mil euro'!Y20/POPULATION!Y21*1000000</f>
        <v>40.983958756202647</v>
      </c>
      <c r="Z20" s="13">
        <f>'pol tax mil euro'!Z20/POPULATION!Z21*1000000</f>
        <v>40.837877327385627</v>
      </c>
      <c r="AA20" s="13">
        <f>'pol tax mil euro'!AA20/POPULATION!AA21*1000000</f>
        <v>39.674746516977422</v>
      </c>
      <c r="AB20" s="13">
        <f>'pol tax mil euro'!AB20/POPULATION!AB21*1000000</f>
        <v>45.623288536087166</v>
      </c>
      <c r="AC20" s="13">
        <f>'pol tax mil euro'!AC20/POPULATION!AC21*1000000</f>
        <v>48.082216419230988</v>
      </c>
      <c r="AD20" s="13">
        <f>'pol tax mil euro'!AD20/POPULATION!AD21*1000000</f>
        <v>52.653000906158873</v>
      </c>
      <c r="AE20" s="13">
        <f>'pol tax mil euro'!AE20/POPULATION!AE21*1000000</f>
        <v>47.357405098461541</v>
      </c>
    </row>
    <row r="21" spans="1:31" ht="11.35" customHeight="1" x14ac:dyDescent="0.45">
      <c r="A21" s="5" t="s">
        <v>53</v>
      </c>
      <c r="B21" s="13">
        <f>'pol tax mil euro'!B21/POPULATION!B22*1000000</f>
        <v>31.634124243677626</v>
      </c>
      <c r="C21" s="13">
        <f>'pol tax mil euro'!C21/POPULATION!C22*1000000</f>
        <v>33.463089208492079</v>
      </c>
      <c r="D21" s="13">
        <f>'pol tax mil euro'!D21/POPULATION!D22*1000000</f>
        <v>33.251504292494992</v>
      </c>
      <c r="E21" s="13">
        <f>'pol tax mil euro'!E21/POPULATION!E22*1000000</f>
        <v>35.445594836197749</v>
      </c>
      <c r="F21" s="13">
        <f>'pol tax mil euro'!F21/POPULATION!F22*1000000</f>
        <v>34.337133845467434</v>
      </c>
      <c r="G21" s="13">
        <f>'pol tax mil euro'!G21/POPULATION!G22*1000000</f>
        <v>32.118388477756028</v>
      </c>
      <c r="H21" s="13">
        <f>'pol tax mil euro'!H21/POPULATION!H22*1000000</f>
        <v>37.351533242724898</v>
      </c>
      <c r="I21" s="13">
        <f>'pol tax mil euro'!I21/POPULATION!I22*1000000</f>
        <v>37.705313257897934</v>
      </c>
      <c r="J21" s="13">
        <f>'pol tax mil euro'!J21/POPULATION!J22*1000000</f>
        <v>39.768810401116369</v>
      </c>
      <c r="K21" s="13">
        <f>'pol tax mil euro'!K21/POPULATION!K22*1000000</f>
        <v>42.517810589389704</v>
      </c>
      <c r="L21" s="13">
        <f>'pol tax mil euro'!L21/POPULATION!L22*1000000</f>
        <v>41.810673088276332</v>
      </c>
      <c r="M21" s="13">
        <f>'pol tax mil euro'!M21/POPULATION!M22*1000000</f>
        <v>70.817604783504265</v>
      </c>
      <c r="N21" s="13">
        <f>'pol tax mil euro'!N21/POPULATION!N22*1000000</f>
        <v>97.277635718309597</v>
      </c>
      <c r="O21" s="13">
        <f>'pol tax mil euro'!O21/POPULATION!O22*1000000</f>
        <v>105.84264675494966</v>
      </c>
      <c r="P21" s="13">
        <f>'pol tax mil euro'!P21/POPULATION!P22*1000000</f>
        <v>97.477931670083692</v>
      </c>
      <c r="Q21" s="13">
        <f>'pol tax mil euro'!Q21/POPULATION!Q22*1000000</f>
        <v>88.590182267693933</v>
      </c>
      <c r="R21" s="13">
        <f>'pol tax mil euro'!R21/POPULATION!R22*1000000</f>
        <v>83.235874762258973</v>
      </c>
      <c r="S21" s="13">
        <f>'pol tax mil euro'!S21/POPULATION!S22*1000000</f>
        <v>76.812728953148564</v>
      </c>
      <c r="T21" s="13">
        <f>'pol tax mil euro'!T21/POPULATION!T22*1000000</f>
        <v>78.419361726520748</v>
      </c>
      <c r="U21" s="13">
        <f>'pol tax mil euro'!U21/POPULATION!U22*1000000</f>
        <v>86.847311477151166</v>
      </c>
      <c r="V21" s="13">
        <f>'pol tax mil euro'!V21/POPULATION!V22*1000000</f>
        <v>96.730022016711658</v>
      </c>
      <c r="W21" s="13">
        <f>'pol tax mil euro'!W21/POPULATION!W22*1000000</f>
        <v>102.0475101758242</v>
      </c>
      <c r="X21" s="13">
        <f>'pol tax mil euro'!X21/POPULATION!X22*1000000</f>
        <v>106.99551752011453</v>
      </c>
      <c r="Y21" s="13">
        <f>'pol tax mil euro'!Y21/POPULATION!Y22*1000000</f>
        <v>114.65642804136469</v>
      </c>
      <c r="Z21" s="13">
        <f>'pol tax mil euro'!Z21/POPULATION!Z22*1000000</f>
        <v>114.78135277356982</v>
      </c>
      <c r="AA21" s="13">
        <f>'pol tax mil euro'!AA21/POPULATION!AA22*1000000</f>
        <v>107.16380353328107</v>
      </c>
      <c r="AB21" s="13">
        <f>'pol tax mil euro'!AB21/POPULATION!AB22*1000000</f>
        <v>116.10505555318665</v>
      </c>
      <c r="AC21" s="13">
        <f>'pol tax mil euro'!AC21/POPULATION!AC22*1000000</f>
        <v>122.99132253926088</v>
      </c>
      <c r="AD21" s="13">
        <f>'pol tax mil euro'!AD21/POPULATION!AD22*1000000</f>
        <v>131.1955094063872</v>
      </c>
      <c r="AE21" s="13">
        <f>'pol tax mil euro'!AE21/POPULATION!AE22*1000000</f>
        <v>135.25749961094954</v>
      </c>
    </row>
    <row r="22" spans="1:31" ht="11.35" customHeight="1" x14ac:dyDescent="0.45">
      <c r="A22" s="5" t="s">
        <v>54</v>
      </c>
      <c r="B22" s="13">
        <f>'pol tax mil euro'!B22/POPULATION!B23*1000000</f>
        <v>1.8228705979311106</v>
      </c>
      <c r="C22" s="13">
        <f>'pol tax mil euro'!C22/POPULATION!C23*1000000</f>
        <v>7.5464167432957145</v>
      </c>
      <c r="D22" s="13">
        <f>'pol tax mil euro'!D22/POPULATION!D23*1000000</f>
        <v>8.6462981353730708</v>
      </c>
      <c r="E22" s="13">
        <f>'pol tax mil euro'!E22/POPULATION!E23*1000000</f>
        <v>9.4885492028653893</v>
      </c>
      <c r="F22" s="13">
        <f>'pol tax mil euro'!F22/POPULATION!F23*1000000</f>
        <v>8.4696458698729575</v>
      </c>
      <c r="G22" s="13">
        <f>'pol tax mil euro'!G22/POPULATION!G23*1000000</f>
        <v>9.0120913807093181</v>
      </c>
      <c r="H22" s="13">
        <f>'pol tax mil euro'!H22/POPULATION!H23*1000000</f>
        <v>8.3039721497765502</v>
      </c>
      <c r="I22" s="13">
        <f>'pol tax mil euro'!I22/POPULATION!I23*1000000</f>
        <v>7.8956690851393505</v>
      </c>
      <c r="J22" s="13">
        <f>'pol tax mil euro'!J22/POPULATION!J23*1000000</f>
        <v>7.6067066181390253</v>
      </c>
      <c r="K22" s="13">
        <f>'pol tax mil euro'!K22/POPULATION!K23*1000000</f>
        <v>7.5852266168899911</v>
      </c>
      <c r="L22" s="13">
        <f>'pol tax mil euro'!L22/POPULATION!L23*1000000</f>
        <v>7.8216029503499813</v>
      </c>
      <c r="M22" s="13">
        <f>'pol tax mil euro'!M22/POPULATION!M23*1000000</f>
        <v>7.9603361155851786</v>
      </c>
      <c r="N22" s="13">
        <f>'pol tax mil euro'!N22/POPULATION!N23*1000000</f>
        <v>8.4087148125407776</v>
      </c>
      <c r="O22" s="13">
        <f>'pol tax mil euro'!O22/POPULATION!O23*1000000</f>
        <v>8.2370411639691685</v>
      </c>
      <c r="P22" s="13">
        <f>'pol tax mil euro'!P22/POPULATION!P23*1000000</f>
        <v>8.0611785220854077</v>
      </c>
      <c r="Q22" s="13">
        <f>'pol tax mil euro'!Q22/POPULATION!Q23*1000000</f>
        <v>7.756702108931707</v>
      </c>
      <c r="R22" s="13">
        <f>'pol tax mil euro'!R22/POPULATION!R23*1000000</f>
        <v>7.8233821274952069</v>
      </c>
      <c r="S22" s="13">
        <f>'pol tax mil euro'!S22/POPULATION!S23*1000000</f>
        <v>8.8012373641308983</v>
      </c>
      <c r="T22" s="13">
        <f>'pol tax mil euro'!T22/POPULATION!T23*1000000</f>
        <v>8.1125054869320739</v>
      </c>
      <c r="U22" s="13">
        <f>'pol tax mil euro'!U22/POPULATION!U23*1000000</f>
        <v>8.9152676228285657</v>
      </c>
      <c r="V22" s="13">
        <f>'pol tax mil euro'!V22/POPULATION!V23*1000000</f>
        <v>8.4583430832322346</v>
      </c>
      <c r="W22" s="13">
        <f>'pol tax mil euro'!W22/POPULATION!W23*1000000</f>
        <v>7.8785032412893674</v>
      </c>
      <c r="X22" s="13">
        <f>'pol tax mil euro'!X22/POPULATION!X23*1000000</f>
        <v>8.673686170451683</v>
      </c>
      <c r="Y22" s="13">
        <f>'pol tax mil euro'!Y22/POPULATION!Y23*1000000</f>
        <v>8.29193358865259</v>
      </c>
      <c r="Z22" s="13">
        <f>'pol tax mil euro'!Z22/POPULATION!Z23*1000000</f>
        <v>8.2418492248808288</v>
      </c>
      <c r="AA22" s="13">
        <f>'pol tax mil euro'!AA22/POPULATION!AA23*1000000</f>
        <v>9.0876337625915706</v>
      </c>
      <c r="AB22" s="13">
        <f>'pol tax mil euro'!AB22/POPULATION!AB23*1000000</f>
        <v>9.5549659800163127</v>
      </c>
      <c r="AC22" s="13">
        <f>'pol tax mil euro'!AC22/POPULATION!AC23*1000000</f>
        <v>10.164300324378397</v>
      </c>
      <c r="AD22" s="13">
        <f>'pol tax mil euro'!AD22/POPULATION!AD23*1000000</f>
        <v>10.068274255926141</v>
      </c>
      <c r="AE22" s="13">
        <f>'pol tax mil euro'!AE22/POPULATION!AE23*1000000</f>
        <v>10.360984500408081</v>
      </c>
    </row>
    <row r="23" spans="1:31" ht="11.35" customHeight="1" x14ac:dyDescent="0.45">
      <c r="A23" s="5" t="s">
        <v>55</v>
      </c>
      <c r="B23" s="13">
        <f>'pol tax mil euro'!B23/POPULATION!B24*1000000</f>
        <v>61.605301526652504</v>
      </c>
      <c r="C23" s="13">
        <f>'pol tax mil euro'!C23/POPULATION!C24*1000000</f>
        <v>61.721717481827056</v>
      </c>
      <c r="D23" s="13">
        <f>'pol tax mil euro'!D23/POPULATION!D24*1000000</f>
        <v>62.988415354345484</v>
      </c>
      <c r="E23" s="13">
        <f>'pol tax mil euro'!E23/POPULATION!E24*1000000</f>
        <v>63.698229452840948</v>
      </c>
      <c r="F23" s="13">
        <f>'pol tax mil euro'!F23/POPULATION!F24*1000000</f>
        <v>64.258957153861246</v>
      </c>
      <c r="G23" s="13">
        <f>'pol tax mil euro'!G23/POPULATION!G24*1000000</f>
        <v>65.329755234273279</v>
      </c>
      <c r="H23" s="13">
        <f>'pol tax mil euro'!H23/POPULATION!H24*1000000</f>
        <v>65.701477602290311</v>
      </c>
      <c r="I23" s="13">
        <f>'pol tax mil euro'!I23/POPULATION!I24*1000000</f>
        <v>66.289744436523009</v>
      </c>
      <c r="J23" s="13">
        <f>'pol tax mil euro'!J23/POPULATION!J24*1000000</f>
        <v>65.782099422742817</v>
      </c>
      <c r="K23" s="13">
        <f>'pol tax mil euro'!K23/POPULATION!K24*1000000</f>
        <v>66.469034836414238</v>
      </c>
      <c r="L23" s="13">
        <f>'pol tax mil euro'!L23/POPULATION!L24*1000000</f>
        <v>67.388110500131646</v>
      </c>
      <c r="M23" s="13">
        <f>'pol tax mil euro'!M23/POPULATION!M24*1000000</f>
        <v>67.80795496852879</v>
      </c>
      <c r="N23" s="13">
        <f>'pol tax mil euro'!N23/POPULATION!N24*1000000</f>
        <v>67.065479551823685</v>
      </c>
      <c r="O23" s="13">
        <f>'pol tax mil euro'!O23/POPULATION!O24*1000000</f>
        <v>66.44056094485228</v>
      </c>
      <c r="P23" s="13">
        <f>'pol tax mil euro'!P23/POPULATION!P24*1000000</f>
        <v>65.965643155609655</v>
      </c>
      <c r="Q23" s="13">
        <f>'pol tax mil euro'!Q23/POPULATION!Q24*1000000</f>
        <v>65.422272139072689</v>
      </c>
      <c r="R23" s="13">
        <f>'pol tax mil euro'!R23/POPULATION!R24*1000000</f>
        <v>65.054998445967911</v>
      </c>
      <c r="S23" s="13">
        <f>'pol tax mil euro'!S23/POPULATION!S24*1000000</f>
        <v>66.228853228091069</v>
      </c>
      <c r="T23" s="13">
        <f>'pol tax mil euro'!T23/POPULATION!T24*1000000</f>
        <v>66.952230620707567</v>
      </c>
      <c r="U23" s="13">
        <f>'pol tax mil euro'!U23/POPULATION!U24*1000000</f>
        <v>68.334666617056115</v>
      </c>
      <c r="V23" s="13">
        <f>'pol tax mil euro'!V23/POPULATION!V24*1000000</f>
        <v>69.571096340111936</v>
      </c>
      <c r="W23" s="13">
        <f>'pol tax mil euro'!W23/POPULATION!W24*1000000</f>
        <v>70.88741832259737</v>
      </c>
      <c r="X23" s="13">
        <f>'pol tax mil euro'!X23/POPULATION!X24*1000000</f>
        <v>74.447221334485988</v>
      </c>
      <c r="Y23" s="13">
        <f>'pol tax mil euro'!Y23/POPULATION!Y24*1000000</f>
        <v>77.281951648131525</v>
      </c>
      <c r="Z23" s="13">
        <f>'pol tax mil euro'!Z23/POPULATION!Z24*1000000</f>
        <v>76.129472901412498</v>
      </c>
      <c r="AA23" s="13">
        <f>'pol tax mil euro'!AA23/POPULATION!AA24*1000000</f>
        <v>75.330025963261377</v>
      </c>
      <c r="AB23" s="13">
        <f>'pol tax mil euro'!AB23/POPULATION!AB24*1000000</f>
        <v>75.234341852601929</v>
      </c>
      <c r="AC23" s="13">
        <f>'pol tax mil euro'!AC23/POPULATION!AC24*1000000</f>
        <v>72.534535645604691</v>
      </c>
      <c r="AD23" s="13">
        <f>'pol tax mil euro'!AD23/POPULATION!AD24*1000000</f>
        <v>75.072385584416139</v>
      </c>
      <c r="AE23" s="13">
        <f>'pol tax mil euro'!AE23/POPULATION!AE24*1000000</f>
        <v>82.163571735317404</v>
      </c>
    </row>
    <row r="24" spans="1:31" ht="11.35" customHeight="1" x14ac:dyDescent="0.45">
      <c r="A24" s="5" t="s">
        <v>56</v>
      </c>
      <c r="B24" s="13">
        <f>'pol tax mil euro'!B24/POPULATION!B25*1000000</f>
        <v>0.87579681513888774</v>
      </c>
      <c r="C24" s="13">
        <f>'pol tax mil euro'!C24/POPULATION!C25*1000000</f>
        <v>1.0001899146032183</v>
      </c>
      <c r="D24" s="13">
        <f>'pol tax mil euro'!D24/POPULATION!D25*1000000</f>
        <v>5.6730058177963052</v>
      </c>
      <c r="E24" s="13">
        <f>'pol tax mil euro'!E24/POPULATION!E25*1000000</f>
        <v>6.7250801288340298</v>
      </c>
      <c r="F24" s="13">
        <f>'pol tax mil euro'!F24/POPULATION!F25*1000000</f>
        <v>7.1147292818416439</v>
      </c>
      <c r="G24" s="13">
        <f>'pol tax mil euro'!G24/POPULATION!G25*1000000</f>
        <v>7.7843066865682919</v>
      </c>
      <c r="H24" s="13">
        <f>'pol tax mil euro'!H24/POPULATION!H25*1000000</f>
        <v>7.9927457652469798</v>
      </c>
      <c r="I24" s="13">
        <f>'pol tax mil euro'!I24/POPULATION!I25*1000000</f>
        <v>8.2379846925146367</v>
      </c>
      <c r="J24" s="13">
        <f>'pol tax mil euro'!J24/POPULATION!J25*1000000</f>
        <v>6.8800855879167955</v>
      </c>
      <c r="K24" s="13">
        <f>'pol tax mil euro'!K24/POPULATION!K25*1000000</f>
        <v>5.7280410451039296</v>
      </c>
      <c r="L24" s="13">
        <f>'pol tax mil euro'!L24/POPULATION!L25*1000000</f>
        <v>6.836394153238353</v>
      </c>
      <c r="M24" s="13">
        <f>'pol tax mil euro'!M24/POPULATION!M25*1000000</f>
        <v>7.3343465564030996</v>
      </c>
      <c r="N24" s="13">
        <f>'pol tax mil euro'!N24/POPULATION!N25*1000000</f>
        <v>7.0036761377012366</v>
      </c>
      <c r="O24" s="13">
        <f>'pol tax mil euro'!O24/POPULATION!O25*1000000</f>
        <v>6.3691652104881351</v>
      </c>
      <c r="P24" s="13">
        <f>'pol tax mil euro'!P24/POPULATION!P25*1000000</f>
        <v>5.2292501412498611</v>
      </c>
      <c r="Q24" s="13">
        <f>'pol tax mil euro'!Q24/POPULATION!Q25*1000000</f>
        <v>6.2673779441113995</v>
      </c>
      <c r="R24" s="13">
        <f>'pol tax mil euro'!R24/POPULATION!R25*1000000</f>
        <v>7.533964296817949</v>
      </c>
      <c r="S24" s="13">
        <f>'pol tax mil euro'!S24/POPULATION!S25*1000000</f>
        <v>9.0032682695190225</v>
      </c>
      <c r="T24" s="13">
        <f>'pol tax mil euro'!T24/POPULATION!T25*1000000</f>
        <v>10.045334947438636</v>
      </c>
      <c r="U24" s="13">
        <f>'pol tax mil euro'!U24/POPULATION!U25*1000000</f>
        <v>10.557250977782308</v>
      </c>
      <c r="V24" s="13">
        <f>'pol tax mil euro'!V24/POPULATION!V25*1000000</f>
        <v>11.615752712859802</v>
      </c>
      <c r="W24" s="13">
        <f>'pol tax mil euro'!W24/POPULATION!W25*1000000</f>
        <v>9.6497790454540144</v>
      </c>
      <c r="X24" s="13">
        <f>'pol tax mil euro'!X24/POPULATION!X25*1000000</f>
        <v>13.794051225670676</v>
      </c>
      <c r="Y24" s="13">
        <f>'pol tax mil euro'!Y24/POPULATION!Y25*1000000</f>
        <v>16.232599712879431</v>
      </c>
      <c r="Z24" s="13">
        <f>'pol tax mil euro'!Z24/POPULATION!Z25*1000000</f>
        <v>16.54715078584643</v>
      </c>
      <c r="AA24" s="13">
        <f>'pol tax mil euro'!AA24/POPULATION!AA25*1000000</f>
        <v>18.624765748882805</v>
      </c>
      <c r="AB24" s="13">
        <f>'pol tax mil euro'!AB24/POPULATION!AB25*1000000</f>
        <v>23.805964749002097</v>
      </c>
      <c r="AC24" s="13">
        <f>'pol tax mil euro'!AC24/POPULATION!AC25*1000000</f>
        <v>29.73732738302456</v>
      </c>
      <c r="AD24" s="13">
        <f>'pol tax mil euro'!AD24/POPULATION!AD25*1000000</f>
        <v>33.357270507835686</v>
      </c>
      <c r="AE24" s="13">
        <f>'pol tax mil euro'!AE24/POPULATION!AE25*1000000</f>
        <v>35.931490624542541</v>
      </c>
    </row>
    <row r="25" spans="1:31" ht="11.35" customHeight="1" x14ac:dyDescent="0.45">
      <c r="A25" s="5" t="s">
        <v>57</v>
      </c>
      <c r="B25" s="13">
        <f>'pol tax mil euro'!B25/POPULATION!B26*1000000</f>
        <v>0.52429446023885318</v>
      </c>
      <c r="C25" s="13">
        <f>'pol tax mil euro'!C25/POPULATION!C26*1000000</f>
        <v>0.94876870291424131</v>
      </c>
      <c r="D25" s="13">
        <f>'pol tax mil euro'!D25/POPULATION!D26*1000000</f>
        <v>1.3154913318318524</v>
      </c>
      <c r="E25" s="13">
        <f>'pol tax mil euro'!E25/POPULATION!E26*1000000</f>
        <v>1.2632426428046681</v>
      </c>
      <c r="F25" s="13">
        <f>'pol tax mil euro'!F25/POPULATION!F26*1000000</f>
        <v>3.4187299460666365</v>
      </c>
      <c r="G25" s="13">
        <f>'pol tax mil euro'!G25/POPULATION!G26*1000000</f>
        <v>1.6941556470621064</v>
      </c>
      <c r="H25" s="13">
        <f>'pol tax mil euro'!H25/POPULATION!H26*1000000</f>
        <v>2.8391183476445931</v>
      </c>
      <c r="I25" s="13">
        <f>'pol tax mil euro'!I25/POPULATION!I26*1000000</f>
        <v>3.3404377941879271</v>
      </c>
      <c r="J25" s="13">
        <f>'pol tax mil euro'!J25/POPULATION!J26*1000000</f>
        <v>3.1997696632111294</v>
      </c>
      <c r="K25" s="13">
        <f>'pol tax mil euro'!K25/POPULATION!K26*1000000</f>
        <v>4.7985703731969682</v>
      </c>
      <c r="L25" s="13">
        <f>'pol tax mil euro'!L25/POPULATION!L26*1000000</f>
        <v>5.1233600181210175</v>
      </c>
      <c r="M25" s="13">
        <f>'pol tax mil euro'!M25/POPULATION!M26*1000000</f>
        <v>5.1157580851319286</v>
      </c>
      <c r="N25" s="13">
        <f>'pol tax mil euro'!N25/POPULATION!N26*1000000</f>
        <v>5.64310644086446</v>
      </c>
      <c r="O25" s="13">
        <f>'pol tax mil euro'!O25/POPULATION!O26*1000000</f>
        <v>6.4776092921476494</v>
      </c>
      <c r="P25" s="13">
        <f>'pol tax mil euro'!P25/POPULATION!P26*1000000</f>
        <v>5.6880713198084329</v>
      </c>
      <c r="Q25" s="13">
        <f>'pol tax mil euro'!Q25/POPULATION!Q26*1000000</f>
        <v>2.3456576371048028</v>
      </c>
      <c r="R25" s="13">
        <f>'pol tax mil euro'!R25/POPULATION!R26*1000000</f>
        <v>5.3430073105181561</v>
      </c>
      <c r="S25" s="13">
        <f>'pol tax mil euro'!S25/POPULATION!S26*1000000</f>
        <v>5.5998702907571181</v>
      </c>
      <c r="T25" s="13">
        <f>'pol tax mil euro'!T25/POPULATION!T26*1000000</f>
        <v>6.3873339839449317</v>
      </c>
      <c r="U25" s="13">
        <f>'pol tax mil euro'!U25/POPULATION!U26*1000000</f>
        <v>5.6481612775631964</v>
      </c>
      <c r="V25" s="13">
        <f>'pol tax mil euro'!V25/POPULATION!V26*1000000</f>
        <v>12.594630573448633</v>
      </c>
      <c r="W25" s="13">
        <f>'pol tax mil euro'!W25/POPULATION!W26*1000000</f>
        <v>12.785034257468212</v>
      </c>
      <c r="X25" s="13">
        <f>'pol tax mil euro'!X25/POPULATION!X26*1000000</f>
        <v>14.350785235934534</v>
      </c>
      <c r="Y25" s="13">
        <f>'pol tax mil euro'!Y25/POPULATION!Y26*1000000</f>
        <v>18.378034109404854</v>
      </c>
      <c r="Z25" s="13">
        <f>'pol tax mil euro'!Z25/POPULATION!Z26*1000000</f>
        <v>16.463978379916078</v>
      </c>
      <c r="AA25" s="13">
        <f>'pol tax mil euro'!AA25/POPULATION!AA26*1000000</f>
        <v>17.469893881693697</v>
      </c>
      <c r="AB25" s="13">
        <f>'pol tax mil euro'!AB25/POPULATION!AB26*1000000</f>
        <v>18.176572109830754</v>
      </c>
      <c r="AC25" s="13">
        <f>'pol tax mil euro'!AC25/POPULATION!AC26*1000000</f>
        <v>42.594470844241513</v>
      </c>
      <c r="AD25" s="13">
        <f>'pol tax mil euro'!AD25/POPULATION!AD26*1000000</f>
        <v>52.934977648315055</v>
      </c>
      <c r="AE25" s="13">
        <f>'pol tax mil euro'!AE25/POPULATION!AE26*1000000</f>
        <v>52.534901699336537</v>
      </c>
    </row>
    <row r="26" spans="1:31" ht="11.35" customHeight="1" x14ac:dyDescent="0.45">
      <c r="A26" s="5" t="s">
        <v>58</v>
      </c>
      <c r="B26" s="13">
        <f>'pol tax mil euro'!B26/POPULATION!B27*1000000</f>
        <v>0</v>
      </c>
      <c r="C26" s="13">
        <f>'pol tax mil euro'!C26/POPULATION!C27*1000000</f>
        <v>0</v>
      </c>
      <c r="D26" s="13">
        <f>'pol tax mil euro'!D26/POPULATION!D27*1000000</f>
        <v>0</v>
      </c>
      <c r="E26" s="13">
        <f>'pol tax mil euro'!E26/POPULATION!E27*1000000</f>
        <v>0</v>
      </c>
      <c r="F26" s="13">
        <f>'pol tax mil euro'!F26/POPULATION!F27*1000000</f>
        <v>0</v>
      </c>
      <c r="G26" s="13">
        <f>'pol tax mil euro'!G26/POPULATION!G27*1000000</f>
        <v>0</v>
      </c>
      <c r="H26" s="13">
        <f>'pol tax mil euro'!H26/POPULATION!H27*1000000</f>
        <v>0</v>
      </c>
      <c r="I26" s="13">
        <f>'pol tax mil euro'!I26/POPULATION!I27*1000000</f>
        <v>0</v>
      </c>
      <c r="J26" s="13">
        <f>'pol tax mil euro'!J26/POPULATION!J27*1000000</f>
        <v>0</v>
      </c>
      <c r="K26" s="13">
        <f>'pol tax mil euro'!K26/POPULATION!K27*1000000</f>
        <v>0</v>
      </c>
      <c r="L26" s="13">
        <f>'pol tax mil euro'!L26/POPULATION!L27*1000000</f>
        <v>0</v>
      </c>
      <c r="M26" s="13">
        <f>'pol tax mil euro'!M26/POPULATION!M27*1000000</f>
        <v>0</v>
      </c>
      <c r="N26" s="13">
        <f>'pol tax mil euro'!N26/POPULATION!N27*1000000</f>
        <v>0</v>
      </c>
      <c r="O26" s="13">
        <f>'pol tax mil euro'!O26/POPULATION!O27*1000000</f>
        <v>0</v>
      </c>
      <c r="P26" s="13">
        <f>'pol tax mil euro'!P26/POPULATION!P27*1000000</f>
        <v>0</v>
      </c>
      <c r="Q26" s="13">
        <f>'pol tax mil euro'!Q26/POPULATION!Q27*1000000</f>
        <v>9.6800022307824083</v>
      </c>
      <c r="R26" s="13">
        <f>'pol tax mil euro'!R26/POPULATION!R27*1000000</f>
        <v>7.2483588621444204</v>
      </c>
      <c r="S26" s="13">
        <f>'pol tax mil euro'!S26/POPULATION!S27*1000000</f>
        <v>16.557016917117746</v>
      </c>
      <c r="T26" s="13">
        <f>'pol tax mil euro'!T26/POPULATION!T27*1000000</f>
        <v>11.526164766432235</v>
      </c>
      <c r="U26" s="13">
        <f>'pol tax mil euro'!U26/POPULATION!U27*1000000</f>
        <v>10.879056905836125</v>
      </c>
      <c r="V26" s="13">
        <f>'pol tax mil euro'!V26/POPULATION!V27*1000000</f>
        <v>26.165362247272441</v>
      </c>
      <c r="W26" s="13">
        <f>'pol tax mil euro'!W26/POPULATION!W27*1000000</f>
        <v>24.000041648662297</v>
      </c>
      <c r="X26" s="13">
        <f>'pol tax mil euro'!X26/POPULATION!X27*1000000</f>
        <v>17.150103188429352</v>
      </c>
      <c r="Y26" s="13">
        <f>'pol tax mil euro'!Y26/POPULATION!Y27*1000000</f>
        <v>15.348709728324518</v>
      </c>
      <c r="Z26" s="13">
        <f>'pol tax mil euro'!Z26/POPULATION!Z27*1000000</f>
        <v>17.299403480079619</v>
      </c>
      <c r="AA26" s="13">
        <f>'pol tax mil euro'!AA26/POPULATION!AA27*1000000</f>
        <v>9.4073226983204172</v>
      </c>
      <c r="AB26" s="13">
        <f>'pol tax mil euro'!AB26/POPULATION!AB27*1000000</f>
        <v>13.312747152332486</v>
      </c>
      <c r="AC26" s="13">
        <f>'pol tax mil euro'!AC26/POPULATION!AC27*1000000</f>
        <v>15.246429716902929</v>
      </c>
      <c r="AD26" s="13">
        <f>'pol tax mil euro'!AD26/POPULATION!AD27*1000000</f>
        <v>12.817622036019486</v>
      </c>
      <c r="AE26" s="13">
        <f>'pol tax mil euro'!AE26/POPULATION!AE27*1000000</f>
        <v>19.924112789226992</v>
      </c>
    </row>
    <row r="27" spans="1:31" ht="11.35" customHeight="1" x14ac:dyDescent="0.45">
      <c r="A27" s="5" t="s">
        <v>59</v>
      </c>
      <c r="B27" s="13">
        <f>'pol tax mil euro'!B27/POPULATION!B28*1000000</f>
        <v>4.290537599040313</v>
      </c>
      <c r="C27" s="13">
        <f>'pol tax mil euro'!C27/POPULATION!C28*1000000</f>
        <v>6.946847124504262</v>
      </c>
      <c r="D27" s="13">
        <f>'pol tax mil euro'!D27/POPULATION!D28*1000000</f>
        <v>7.3457126112984188</v>
      </c>
      <c r="E27" s="13">
        <f>'pol tax mil euro'!E27/POPULATION!E28*1000000</f>
        <v>9.5868332651732668</v>
      </c>
      <c r="F27" s="13">
        <f>'pol tax mil euro'!F27/POPULATION!F28*1000000</f>
        <v>6.3520294114663827</v>
      </c>
      <c r="G27" s="13">
        <f>'pol tax mil euro'!G27/POPULATION!G28*1000000</f>
        <v>7.6504327483915509</v>
      </c>
      <c r="H27" s="13">
        <f>'pol tax mil euro'!H27/POPULATION!H28*1000000</f>
        <v>8.6134738416465879</v>
      </c>
      <c r="I27" s="13">
        <f>'pol tax mil euro'!I27/POPULATION!I28*1000000</f>
        <v>10.77460283701396</v>
      </c>
      <c r="J27" s="13">
        <f>'pol tax mil euro'!J27/POPULATION!J28*1000000</f>
        <v>13.062046099320847</v>
      </c>
      <c r="K27" s="13">
        <f>'pol tax mil euro'!K27/POPULATION!K28*1000000</f>
        <v>14.399892771803414</v>
      </c>
      <c r="L27" s="13">
        <f>'pol tax mil euro'!L27/POPULATION!L28*1000000</f>
        <v>11.416631897503049</v>
      </c>
      <c r="M27" s="13">
        <f>'pol tax mil euro'!M27/POPULATION!M28*1000000</f>
        <v>12.715622491398619</v>
      </c>
      <c r="N27" s="13">
        <f>'pol tax mil euro'!N27/POPULATION!N28*1000000</f>
        <v>14.08779794634656</v>
      </c>
      <c r="O27" s="13">
        <f>'pol tax mil euro'!O27/POPULATION!O28*1000000</f>
        <v>16.857465421241024</v>
      </c>
      <c r="P27" s="13">
        <f>'pol tax mil euro'!P27/POPULATION!P28*1000000</f>
        <v>15.649525594471125</v>
      </c>
      <c r="Q27" s="13">
        <f>'pol tax mil euro'!Q27/POPULATION!Q28*1000000</f>
        <v>10.040617819036013</v>
      </c>
      <c r="R27" s="13">
        <f>'pol tax mil euro'!R27/POPULATION!R28*1000000</f>
        <v>9.5556435478576311</v>
      </c>
      <c r="S27" s="13">
        <f>'pol tax mil euro'!S27/POPULATION!S28*1000000</f>
        <v>22.79215761295016</v>
      </c>
      <c r="T27" s="13">
        <f>'pol tax mil euro'!T27/POPULATION!T28*1000000</f>
        <v>21.476971274096158</v>
      </c>
      <c r="U27" s="13">
        <f>'pol tax mil euro'!U27/POPULATION!U28*1000000</f>
        <v>22.468540540781994</v>
      </c>
      <c r="V27" s="13">
        <f>'pol tax mil euro'!V27/POPULATION!V28*1000000</f>
        <v>28.574170490241407</v>
      </c>
      <c r="W27" s="13">
        <f>'pol tax mil euro'!W27/POPULATION!W28*1000000</f>
        <v>29.667722327951953</v>
      </c>
      <c r="X27" s="13">
        <f>'pol tax mil euro'!X27/POPULATION!X28*1000000</f>
        <v>34.437877270682719</v>
      </c>
      <c r="Y27" s="13">
        <f>'pol tax mil euro'!Y27/POPULATION!Y28*1000000</f>
        <v>34.068535479178536</v>
      </c>
      <c r="Z27" s="13">
        <f>'pol tax mil euro'!Z27/POPULATION!Z28*1000000</f>
        <v>35.313442757069083</v>
      </c>
      <c r="AA27" s="13">
        <f>'pol tax mil euro'!AA27/POPULATION!AA28*1000000</f>
        <v>30.096881367799124</v>
      </c>
      <c r="AB27" s="13">
        <f>'pol tax mil euro'!AB27/POPULATION!AB28*1000000</f>
        <v>32.713181973174841</v>
      </c>
      <c r="AC27" s="13">
        <f>'pol tax mil euro'!AC27/POPULATION!AC28*1000000</f>
        <v>31.34728064993736</v>
      </c>
      <c r="AD27" s="13">
        <f>'pol tax mil euro'!AD27/POPULATION!AD28*1000000</f>
        <v>38.608321221899253</v>
      </c>
      <c r="AE27" s="13">
        <f>'pol tax mil euro'!AE27/POPULATION!AE28*1000000</f>
        <v>29.214491080351898</v>
      </c>
    </row>
    <row r="28" spans="1:31" ht="11.35" customHeight="1" x14ac:dyDescent="0.45">
      <c r="A28" s="5" t="s">
        <v>60</v>
      </c>
      <c r="B28" s="13">
        <f>'pol tax mil euro'!B28/POPULATION!B29*1000000</f>
        <v>0</v>
      </c>
      <c r="C28" s="13">
        <f>'pol tax mil euro'!C28/POPULATION!C29*1000000</f>
        <v>0</v>
      </c>
      <c r="D28" s="13">
        <f>'pol tax mil euro'!D28/POPULATION!D29*1000000</f>
        <v>0</v>
      </c>
      <c r="E28" s="13">
        <f>'pol tax mil euro'!E28/POPULATION!E29*1000000</f>
        <v>0</v>
      </c>
      <c r="F28" s="13">
        <f>'pol tax mil euro'!F28/POPULATION!F29*1000000</f>
        <v>0</v>
      </c>
      <c r="G28" s="13">
        <f>'pol tax mil euro'!G28/POPULATION!G29*1000000</f>
        <v>0</v>
      </c>
      <c r="H28" s="13">
        <f>'pol tax mil euro'!H28/POPULATION!H29*1000000</f>
        <v>0</v>
      </c>
      <c r="I28" s="13">
        <f>'pol tax mil euro'!I28/POPULATION!I29*1000000</f>
        <v>0</v>
      </c>
      <c r="J28" s="13">
        <f>'pol tax mil euro'!J28/POPULATION!J29*1000000</f>
        <v>0</v>
      </c>
      <c r="K28" s="13">
        <f>'pol tax mil euro'!K28/POPULATION!K29*1000000</f>
        <v>2.1757234280398232</v>
      </c>
      <c r="L28" s="13">
        <f>'pol tax mil euro'!L28/POPULATION!L29*1000000</f>
        <v>25.703557272989162</v>
      </c>
      <c r="M28" s="13">
        <f>'pol tax mil euro'!M28/POPULATION!M29*1000000</f>
        <v>29.308714342504548</v>
      </c>
      <c r="N28" s="13">
        <f>'pol tax mil euro'!N28/POPULATION!N29*1000000</f>
        <v>35.402942684706716</v>
      </c>
      <c r="O28" s="13">
        <f>'pol tax mil euro'!O28/POPULATION!O29*1000000</f>
        <v>41.830949999019197</v>
      </c>
      <c r="P28" s="13">
        <f>'pol tax mil euro'!P28/POPULATION!P29*1000000</f>
        <v>31.392513493913746</v>
      </c>
      <c r="Q28" s="13">
        <f>'pol tax mil euro'!Q28/POPULATION!Q29*1000000</f>
        <v>25.2398998132972</v>
      </c>
      <c r="R28" s="13">
        <f>'pol tax mil euro'!R28/POPULATION!R29*1000000</f>
        <v>26.362144538770906</v>
      </c>
      <c r="S28" s="13">
        <f>'pol tax mil euro'!S28/POPULATION!S29*1000000</f>
        <v>23.638114123952807</v>
      </c>
      <c r="T28" s="13">
        <f>'pol tax mil euro'!T28/POPULATION!T29*1000000</f>
        <v>28.661997228707552</v>
      </c>
      <c r="U28" s="13">
        <f>'pol tax mil euro'!U28/POPULATION!U29*1000000</f>
        <v>38.607423462476298</v>
      </c>
      <c r="V28" s="13">
        <f>'pol tax mil euro'!V28/POPULATION!V29*1000000</f>
        <v>50.341267761306277</v>
      </c>
      <c r="W28" s="13">
        <f>'pol tax mil euro'!W28/POPULATION!W29*1000000</f>
        <v>42.834743736586347</v>
      </c>
      <c r="X28" s="13">
        <f>'pol tax mil euro'!X28/POPULATION!X29*1000000</f>
        <v>55.205442176870747</v>
      </c>
      <c r="Y28" s="13">
        <f>'pol tax mil euro'!Y28/POPULATION!Y29*1000000</f>
        <v>61.663265499529309</v>
      </c>
      <c r="Z28" s="13">
        <f>'pol tax mil euro'!Z28/POPULATION!Z29*1000000</f>
        <v>66.251764820434587</v>
      </c>
      <c r="AA28" s="13">
        <f>'pol tax mil euro'!AA28/POPULATION!AA29*1000000</f>
        <v>60.269396237775688</v>
      </c>
      <c r="AB28" s="13">
        <f>'pol tax mil euro'!AB28/POPULATION!AB29*1000000</f>
        <v>58.261080164688785</v>
      </c>
      <c r="AC28" s="13">
        <f>'pol tax mil euro'!AC28/POPULATION!AC29*1000000</f>
        <v>61.325633345765077</v>
      </c>
      <c r="AD28" s="13">
        <f>'pol tax mil euro'!AD28/POPULATION!AD29*1000000</f>
        <v>56.544494890702161</v>
      </c>
      <c r="AE28" s="13">
        <f>'pol tax mil euro'!AE28/POPULATION!AE29*1000000</f>
        <v>56.580701153444089</v>
      </c>
    </row>
    <row r="29" spans="1:31" ht="11.35" customHeight="1" x14ac:dyDescent="0.45">
      <c r="A29" s="5" t="s">
        <v>61</v>
      </c>
      <c r="B29" s="13">
        <f>'pol tax mil euro'!B29/POPULATION!B30*1000000</f>
        <v>110.20594883780093</v>
      </c>
      <c r="C29" s="13">
        <f>'pol tax mil euro'!C29/POPULATION!C30*1000000</f>
        <v>107.81670115230592</v>
      </c>
      <c r="D29" s="13">
        <f>'pol tax mil euro'!D29/POPULATION!D30*1000000</f>
        <v>109.04595182650186</v>
      </c>
      <c r="E29" s="13">
        <f>'pol tax mil euro'!E29/POPULATION!E30*1000000</f>
        <v>110.92428149597245</v>
      </c>
      <c r="F29" s="13">
        <f>'pol tax mil euro'!F29/POPULATION!F30*1000000</f>
        <v>117.25720920862487</v>
      </c>
      <c r="G29" s="13">
        <f>'pol tax mil euro'!G29/POPULATION!G30*1000000</f>
        <v>138.36402661380046</v>
      </c>
      <c r="H29" s="13">
        <f>'pol tax mil euro'!H29/POPULATION!H30*1000000</f>
        <v>140.48848835700088</v>
      </c>
      <c r="I29" s="13">
        <f>'pol tax mil euro'!I29/POPULATION!I30*1000000</f>
        <v>146.22529188399957</v>
      </c>
      <c r="J29" s="13">
        <f>'pol tax mil euro'!J29/POPULATION!J30*1000000</f>
        <v>148.64840496000267</v>
      </c>
      <c r="K29" s="13">
        <f>'pol tax mil euro'!K29/POPULATION!K30*1000000</f>
        <v>149.77212494107528</v>
      </c>
      <c r="L29" s="13">
        <f>'pol tax mil euro'!L29/POPULATION!L30*1000000</f>
        <v>157.18597486520829</v>
      </c>
      <c r="M29" s="13">
        <f>'pol tax mil euro'!M29/POPULATION!M30*1000000</f>
        <v>171.23570714469815</v>
      </c>
      <c r="N29" s="13">
        <f>'pol tax mil euro'!N29/POPULATION!N30*1000000</f>
        <v>173.73770570373185</v>
      </c>
      <c r="O29" s="13">
        <f>'pol tax mil euro'!O29/POPULATION!O30*1000000</f>
        <v>185.73153874526307</v>
      </c>
      <c r="P29" s="13">
        <f>'pol tax mil euro'!P29/POPULATION!P30*1000000</f>
        <v>181.67164236684604</v>
      </c>
      <c r="Q29" s="13">
        <f>'pol tax mil euro'!Q29/POPULATION!Q30*1000000</f>
        <v>188.77840582578969</v>
      </c>
      <c r="R29" s="13">
        <f>'pol tax mil euro'!R29/POPULATION!R30*1000000</f>
        <v>189.78375039228078</v>
      </c>
      <c r="S29" s="13">
        <f>'pol tax mil euro'!S29/POPULATION!S30*1000000</f>
        <v>181.10800803426207</v>
      </c>
      <c r="T29" s="13">
        <f>'pol tax mil euro'!T29/POPULATION!T30*1000000</f>
        <v>178.31202518538163</v>
      </c>
      <c r="U29" s="13">
        <f>'pol tax mil euro'!U29/POPULATION!U30*1000000</f>
        <v>190.56063509278377</v>
      </c>
      <c r="V29" s="13">
        <f>'pol tax mil euro'!V29/POPULATION!V30*1000000</f>
        <v>194.96203890886108</v>
      </c>
      <c r="W29" s="13">
        <f>'pol tax mil euro'!W29/POPULATION!W30*1000000</f>
        <v>204.30976399248019</v>
      </c>
      <c r="X29" s="13">
        <f>'pol tax mil euro'!X29/POPULATION!X30*1000000</f>
        <v>205.19266830496863</v>
      </c>
      <c r="Y29" s="13">
        <f>'pol tax mil euro'!Y29/POPULATION!Y30*1000000</f>
        <v>207.0300104463723</v>
      </c>
      <c r="Z29" s="13">
        <f>'pol tax mil euro'!Z29/POPULATION!Z30*1000000</f>
        <v>219.18552671908023</v>
      </c>
      <c r="AA29" s="13">
        <f>'pol tax mil euro'!AA29/POPULATION!AA30*1000000</f>
        <v>221.9147572739125</v>
      </c>
      <c r="AB29" s="13">
        <f>'pol tax mil euro'!AB29/POPULATION!AB30*1000000</f>
        <v>228.77854402885427</v>
      </c>
      <c r="AC29" s="13">
        <f>'pol tax mil euro'!AC29/POPULATION!AC30*1000000</f>
        <v>231.7137173611105</v>
      </c>
      <c r="AD29" s="13">
        <f>'pol tax mil euro'!AD29/POPULATION!AD30*1000000</f>
        <v>248.10105005863977</v>
      </c>
      <c r="AE29" s="13">
        <f>'pol tax mil euro'!AE29/POPULATION!AE30*1000000</f>
        <v>267.960516173992</v>
      </c>
    </row>
    <row r="30" spans="1:31" ht="11.35" customHeight="1" x14ac:dyDescent="0.45">
      <c r="A30" s="5" t="s">
        <v>62</v>
      </c>
      <c r="B30" s="13">
        <f>'pol tax mil euro'!B30/POPULATION!B31*1000000</f>
        <v>3.8131858683256188</v>
      </c>
      <c r="C30" s="13">
        <f>'pol tax mil euro'!C30/POPULATION!C31*1000000</f>
        <v>4.053782018936845</v>
      </c>
      <c r="D30" s="13">
        <f>'pol tax mil euro'!D30/POPULATION!D31*1000000</f>
        <v>5.1726523377500921</v>
      </c>
      <c r="E30" s="13">
        <f>'pol tax mil euro'!E30/POPULATION!E31*1000000</f>
        <v>6.5461348197667686</v>
      </c>
      <c r="F30" s="13">
        <f>'pol tax mil euro'!F30/POPULATION!F31*1000000</f>
        <v>9.2615548012072981</v>
      </c>
      <c r="G30" s="13">
        <f>'pol tax mil euro'!G30/POPULATION!G31*1000000</f>
        <v>10.285939367067948</v>
      </c>
      <c r="H30" s="13">
        <f>'pol tax mil euro'!H30/POPULATION!H31*1000000</f>
        <v>12.447409569893626</v>
      </c>
      <c r="I30" s="13">
        <f>'pol tax mil euro'!I30/POPULATION!I31*1000000</f>
        <v>12.769667296655108</v>
      </c>
      <c r="J30" s="13">
        <f>'pol tax mil euro'!J30/POPULATION!J31*1000000</f>
        <v>13.421769858867719</v>
      </c>
      <c r="K30" s="13">
        <f>'pol tax mil euro'!K30/POPULATION!K31*1000000</f>
        <v>8.5329293332709462</v>
      </c>
      <c r="L30" s="13">
        <f>'pol tax mil euro'!L30/POPULATION!L31*1000000</f>
        <v>7.2000262395537131</v>
      </c>
      <c r="M30" s="13">
        <f>'pol tax mil euro'!M30/POPULATION!M31*1000000</f>
        <v>10.082020300212085</v>
      </c>
      <c r="N30" s="13">
        <f>'pol tax mil euro'!N30/POPULATION!N31*1000000</f>
        <v>9.973458840437214</v>
      </c>
      <c r="O30" s="13">
        <f>'pol tax mil euro'!O30/POPULATION!O31*1000000</f>
        <v>9.0719908271424039</v>
      </c>
      <c r="P30" s="13">
        <f>'pol tax mil euro'!P30/POPULATION!P31*1000000</f>
        <v>8.3683233227390552</v>
      </c>
      <c r="Q30" s="13">
        <f>'pol tax mil euro'!Q30/POPULATION!Q31*1000000</f>
        <v>7.4596100431974879</v>
      </c>
      <c r="R30" s="13">
        <f>'pol tax mil euro'!R30/POPULATION!R31*1000000</f>
        <v>7.688207657784373</v>
      </c>
      <c r="S30" s="13">
        <f>'pol tax mil euro'!S30/POPULATION!S31*1000000</f>
        <v>8.5821790623612575</v>
      </c>
      <c r="T30" s="13">
        <f>'pol tax mil euro'!T30/POPULATION!T31*1000000</f>
        <v>8.6241371721727518</v>
      </c>
      <c r="U30" s="13">
        <f>'pol tax mil euro'!U30/POPULATION!U31*1000000</f>
        <v>8.897732030401329</v>
      </c>
      <c r="V30" s="13">
        <f>'pol tax mil euro'!V30/POPULATION!V31*1000000</f>
        <v>9.2149891565751396</v>
      </c>
      <c r="W30" s="13">
        <f>'pol tax mil euro'!W30/POPULATION!W31*1000000</f>
        <v>9.3397242517100523</v>
      </c>
      <c r="X30" s="13">
        <f>'pol tax mil euro'!X30/POPULATION!X31*1000000</f>
        <v>9.8428506536918086</v>
      </c>
      <c r="Y30" s="13">
        <f>'pol tax mil euro'!Y30/POPULATION!Y31*1000000</f>
        <v>11.790620256675524</v>
      </c>
      <c r="Z30" s="13">
        <f>'pol tax mil euro'!Z30/POPULATION!Z31*1000000</f>
        <v>11.139237648546217</v>
      </c>
      <c r="AA30" s="13">
        <f>'pol tax mil euro'!AA30/POPULATION!AA31*1000000</f>
        <v>8.4360701147638082</v>
      </c>
      <c r="AB30" s="13">
        <f>'pol tax mil euro'!AB30/POPULATION!AB31*1000000</f>
        <v>9.5592983235460327</v>
      </c>
      <c r="AC30" s="13">
        <f>'pol tax mil euro'!AC30/POPULATION!AC31*1000000</f>
        <v>9.750606113490818</v>
      </c>
      <c r="AD30" s="13">
        <f>'pol tax mil euro'!AD30/POPULATION!AD31*1000000</f>
        <v>8.8623855709950785</v>
      </c>
      <c r="AE30" s="13">
        <f>'pol tax mil euro'!AE30/POPULATION!AE31*1000000</f>
        <v>9.2916609799372178</v>
      </c>
    </row>
    <row r="31" spans="1:31" ht="11.35" customHeight="1" x14ac:dyDescent="0.45">
      <c r="A31" s="5" t="s">
        <v>63</v>
      </c>
      <c r="B31" s="13">
        <f>'pol tax mil euro'!B31/POPULATION!B32*1000000</f>
        <v>11.028341526182189</v>
      </c>
      <c r="C31" s="13">
        <f>'pol tax mil euro'!C31/POPULATION!C32*1000000</f>
        <v>9.3238954587197806</v>
      </c>
      <c r="D31" s="13">
        <f>'pol tax mil euro'!D31/POPULATION!D32*1000000</f>
        <v>8.7348798210611314</v>
      </c>
      <c r="E31" s="13">
        <f>'pol tax mil euro'!E31/POPULATION!E32*1000000</f>
        <v>12.442841730462399</v>
      </c>
      <c r="F31" s="13">
        <f>'pol tax mil euro'!F31/POPULATION!F32*1000000</f>
        <v>8.6626877509424496</v>
      </c>
      <c r="G31" s="13">
        <f>'pol tax mil euro'!G31/POPULATION!G32*1000000</f>
        <v>10.073882016928858</v>
      </c>
      <c r="H31" s="13">
        <f>'pol tax mil euro'!H31/POPULATION!H32*1000000</f>
        <v>10.101700595402487</v>
      </c>
      <c r="I31" s="13">
        <f>'pol tax mil euro'!I31/POPULATION!I32*1000000</f>
        <v>11.686828557470168</v>
      </c>
      <c r="J31" s="13">
        <f>'pol tax mil euro'!J31/POPULATION!J32*1000000</f>
        <v>8.9624062212124258</v>
      </c>
      <c r="K31" s="13">
        <f>'pol tax mil euro'!K31/POPULATION!K32*1000000</f>
        <v>10.180513491694084</v>
      </c>
      <c r="L31" s="13">
        <f>'pol tax mil euro'!L31/POPULATION!L32*1000000</f>
        <v>9.0965447930500041</v>
      </c>
      <c r="M31" s="13">
        <f>'pol tax mil euro'!M31/POPULATION!M32*1000000</f>
        <v>14.321597932544847</v>
      </c>
      <c r="N31" s="13">
        <f>'pol tax mil euro'!N31/POPULATION!N32*1000000</f>
        <v>16.789559548878064</v>
      </c>
      <c r="O31" s="13">
        <f>'pol tax mil euro'!O31/POPULATION!O32*1000000</f>
        <v>21.573820574078759</v>
      </c>
      <c r="P31" s="13">
        <f>'pol tax mil euro'!P31/POPULATION!P32*1000000</f>
        <v>18.765531962606548</v>
      </c>
      <c r="Q31" s="13">
        <f>'pol tax mil euro'!Q31/POPULATION!Q32*1000000</f>
        <v>20.982372476942757</v>
      </c>
      <c r="R31" s="13">
        <f>'pol tax mil euro'!R31/POPULATION!R32*1000000</f>
        <v>21.218926089303448</v>
      </c>
      <c r="S31" s="13">
        <f>'pol tax mil euro'!S31/POPULATION!S32*1000000</f>
        <v>18.068089485146409</v>
      </c>
      <c r="T31" s="13">
        <f>'pol tax mil euro'!T31/POPULATION!T32*1000000</f>
        <v>8.9255747153992768</v>
      </c>
      <c r="U31" s="13">
        <f>'pol tax mil euro'!U31/POPULATION!U32*1000000</f>
        <v>16.444641170717254</v>
      </c>
      <c r="V31" s="13">
        <f>'pol tax mil euro'!V31/POPULATION!V32*1000000</f>
        <v>19.079549668635799</v>
      </c>
      <c r="W31" s="13">
        <f>'pol tax mil euro'!W31/POPULATION!W32*1000000</f>
        <v>15.670891162950641</v>
      </c>
      <c r="X31" s="13">
        <f>'pol tax mil euro'!X31/POPULATION!X32*1000000</f>
        <v>14.723106681901367</v>
      </c>
      <c r="Y31" s="13">
        <f>'pol tax mil euro'!Y31/POPULATION!Y32*1000000</f>
        <v>14.180805187140203</v>
      </c>
      <c r="Z31" s="13">
        <f>'pol tax mil euro'!Z31/POPULATION!Z32*1000000</f>
        <v>15.080526562004414</v>
      </c>
      <c r="AA31" s="13">
        <f>'pol tax mil euro'!AA31/POPULATION!AA32*1000000</f>
        <v>17.468454327238074</v>
      </c>
      <c r="AB31" s="13">
        <f>'pol tax mil euro'!AB31/POPULATION!AB32*1000000</f>
        <v>14.0917910401262</v>
      </c>
      <c r="AC31" s="13">
        <f>'pol tax mil euro'!AC31/POPULATION!AC32*1000000</f>
        <v>15.751796277563308</v>
      </c>
      <c r="AD31" s="13">
        <f>'pol tax mil euro'!AD31/POPULATION!AD32*1000000</f>
        <v>18.516212882412823</v>
      </c>
      <c r="AE31" s="13">
        <f>'pol tax mil euro'!AE31/POPULATION!AE32*1000000</f>
        <v>19.615264150567285</v>
      </c>
    </row>
    <row r="32" spans="1:31" ht="11.35" customHeight="1" x14ac:dyDescent="0.45">
      <c r="A32" s="5" t="s">
        <v>64</v>
      </c>
      <c r="B32" s="13">
        <f>'pol tax mil euro'!B32/POPULATION!B33*1000000</f>
        <v>1.9982696982682696E-3</v>
      </c>
      <c r="C32" s="13">
        <f>'pol tax mil euro'!C32/POPULATION!C33*1000000</f>
        <v>1.9912994154640132E-3</v>
      </c>
      <c r="D32" s="13">
        <f>'pol tax mil euro'!D32/POPULATION!D33*1000000</f>
        <v>1.9833013955698601E-3</v>
      </c>
      <c r="E32" s="13">
        <f>'pol tax mil euro'!E32/POPULATION!E33*1000000</f>
        <v>9.8680075052117876E-4</v>
      </c>
      <c r="F32" s="13">
        <f>'pol tax mil euro'!F32/POPULATION!F33*1000000</f>
        <v>4.2212177251091963E-2</v>
      </c>
      <c r="G32" s="13">
        <f>'pol tax mil euro'!G32/POPULATION!G33*1000000</f>
        <v>0.10244879950496741</v>
      </c>
      <c r="H32" s="13">
        <f>'pol tax mil euro'!H32/POPULATION!H33*1000000</f>
        <v>9.9702113316969279E-2</v>
      </c>
      <c r="I32" s="13">
        <f>'pol tax mil euro'!I32/POPULATION!I33*1000000</f>
        <v>0.10870957026144844</v>
      </c>
      <c r="J32" s="13">
        <f>'pol tax mil euro'!J32/POPULATION!J33*1000000</f>
        <v>0.56967280292040134</v>
      </c>
      <c r="K32" s="13">
        <f>'pol tax mil euro'!K32/POPULATION!K33*1000000</f>
        <v>0.72471725046667401</v>
      </c>
      <c r="L32" s="13">
        <f>'pol tax mil euro'!L32/POPULATION!L33*1000000</f>
        <v>0.76705589274252695</v>
      </c>
      <c r="M32" s="13">
        <f>'pol tax mil euro'!M32/POPULATION!M33*1000000</f>
        <v>0.90943787226545547</v>
      </c>
      <c r="N32" s="13">
        <f>'pol tax mil euro'!N32/POPULATION!N33*1000000</f>
        <v>0.84119876330489707</v>
      </c>
      <c r="O32" s="13">
        <f>'pol tax mil euro'!O32/POPULATION!O33*1000000</f>
        <v>1.3322797647265949</v>
      </c>
      <c r="P32" s="13">
        <f>'pol tax mil euro'!P32/POPULATION!P33*1000000</f>
        <v>2.046764304203327</v>
      </c>
      <c r="Q32" s="13">
        <f>'pol tax mil euro'!Q32/POPULATION!Q33*1000000</f>
        <v>3.28841623461871</v>
      </c>
      <c r="R32" s="13">
        <f>'pol tax mil euro'!R32/POPULATION!R33*1000000</f>
        <v>3.439039013703284</v>
      </c>
      <c r="S32" s="13">
        <f>'pol tax mil euro'!S32/POPULATION!S33*1000000</f>
        <v>3.8498146122483772</v>
      </c>
      <c r="T32" s="13">
        <f>'pol tax mil euro'!T32/POPULATION!T33*1000000</f>
        <v>3.6624530209715656</v>
      </c>
      <c r="U32" s="13">
        <f>'pol tax mil euro'!U32/POPULATION!U33*1000000</f>
        <v>3.721721332979449</v>
      </c>
      <c r="V32" s="13">
        <f>'pol tax mil euro'!V32/POPULATION!V33*1000000</f>
        <v>3.4747070284222761</v>
      </c>
      <c r="W32" s="13">
        <f>'pol tax mil euro'!W32/POPULATION!W33*1000000</f>
        <v>3.4749300625718882</v>
      </c>
      <c r="X32" s="13">
        <f>'pol tax mil euro'!X32/POPULATION!X33*1000000</f>
        <v>3.5980549236027182</v>
      </c>
      <c r="Y32" s="13">
        <f>'pol tax mil euro'!Y32/POPULATION!Y33*1000000</f>
        <v>3.5662558280611898</v>
      </c>
      <c r="Z32" s="13">
        <f>'pol tax mil euro'!Z32/POPULATION!Z33*1000000</f>
        <v>3.8631649927575333</v>
      </c>
      <c r="AA32" s="13">
        <f>'pol tax mil euro'!AA32/POPULATION!AA33*1000000</f>
        <v>3.3521615321633536</v>
      </c>
      <c r="AB32" s="13">
        <f>'pol tax mil euro'!AB32/POPULATION!AB33*1000000</f>
        <v>4.7526061647074354</v>
      </c>
      <c r="AC32" s="13">
        <f>'pol tax mil euro'!AC32/POPULATION!AC33*1000000</f>
        <v>8.1306063447901042</v>
      </c>
      <c r="AD32" s="13">
        <f>'pol tax mil euro'!AD32/POPULATION!AD33*1000000</f>
        <v>10.334117774140573</v>
      </c>
      <c r="AE32" s="13">
        <f>'pol tax mil euro'!AE32/POPULATION!AE33*1000000</f>
        <v>9.2314407344700413</v>
      </c>
    </row>
    <row r="33" spans="1:31" ht="11.35" customHeight="1" x14ac:dyDescent="0.45">
      <c r="A33" s="5" t="s">
        <v>65</v>
      </c>
      <c r="B33" s="13">
        <f>'pol tax mil euro'!B33/POPULATION!B34*1000000</f>
        <v>4.2175210592067049</v>
      </c>
      <c r="C33" s="13">
        <f>'pol tax mil euro'!C33/POPULATION!C34*1000000</f>
        <v>4.4451516354613725</v>
      </c>
      <c r="D33" s="13">
        <f>'pol tax mil euro'!D33/POPULATION!D34*1000000</f>
        <v>5.6421388103425665</v>
      </c>
      <c r="E33" s="13">
        <f>'pol tax mil euro'!E33/POPULATION!E34*1000000</f>
        <v>7.4158443721243632</v>
      </c>
      <c r="F33" s="13">
        <f>'pol tax mil euro'!F33/POPULATION!F34*1000000</f>
        <v>4.3746619119602617</v>
      </c>
      <c r="G33" s="13">
        <f>'pol tax mil euro'!G33/POPULATION!G34*1000000</f>
        <v>6.0800289995963119</v>
      </c>
      <c r="H33" s="13">
        <f>'pol tax mil euro'!H33/POPULATION!H34*1000000</f>
        <v>7.2058273266567863</v>
      </c>
      <c r="I33" s="13">
        <f>'pol tax mil euro'!I33/POPULATION!I34*1000000</f>
        <v>6.9851429568062953</v>
      </c>
      <c r="J33" s="13">
        <f>'pol tax mil euro'!J33/POPULATION!J34*1000000</f>
        <v>6.1269191935141487</v>
      </c>
      <c r="K33" s="13">
        <f>'pol tax mil euro'!K33/POPULATION!K34*1000000</f>
        <v>3.8919867728208852</v>
      </c>
      <c r="L33" s="13">
        <f>'pol tax mil euro'!L33/POPULATION!L34*1000000</f>
        <v>3.5211277486099055</v>
      </c>
      <c r="M33" s="13">
        <f>'pol tax mil euro'!M33/POPULATION!M34*1000000</f>
        <v>3.7973344894692653</v>
      </c>
      <c r="N33" s="13">
        <f>'pol tax mil euro'!N33/POPULATION!N34*1000000</f>
        <v>0.93940025942591154</v>
      </c>
      <c r="O33" s="13">
        <f>'pol tax mil euro'!O33/POPULATION!O34*1000000</f>
        <v>0.70267394087653001</v>
      </c>
      <c r="P33" s="13">
        <f>'pol tax mil euro'!P33/POPULATION!P34*1000000</f>
        <v>0.35077780207619363</v>
      </c>
      <c r="Q33" s="13">
        <f>'pol tax mil euro'!Q33/POPULATION!Q34*1000000</f>
        <v>0.75093560219689059</v>
      </c>
      <c r="R33" s="13">
        <f>'pol tax mil euro'!R33/POPULATION!R34*1000000</f>
        <v>0.57675954112515837</v>
      </c>
      <c r="S33" s="13">
        <f>'pol tax mil euro'!S33/POPULATION!S34*1000000</f>
        <v>0.65037831416765801</v>
      </c>
      <c r="T33" s="13">
        <f>'pol tax mil euro'!T33/POPULATION!T34*1000000</f>
        <v>0.55494300370717897</v>
      </c>
      <c r="U33" s="13">
        <f>'pol tax mil euro'!U33/POPULATION!U34*1000000</f>
        <v>0.50182202503385032</v>
      </c>
      <c r="V33" s="13">
        <f>'pol tax mil euro'!V33/POPULATION!V34*1000000</f>
        <v>0.41317225352551434</v>
      </c>
      <c r="W33" s="13">
        <f>'pol tax mil euro'!W33/POPULATION!W34*1000000</f>
        <v>0.52984261346513783</v>
      </c>
      <c r="X33" s="13">
        <f>'pol tax mil euro'!X33/POPULATION!X34*1000000</f>
        <v>0.49786323513668251</v>
      </c>
      <c r="Y33" s="13">
        <f>'pol tax mil euro'!Y33/POPULATION!Y34*1000000</f>
        <v>0.4837847386239042</v>
      </c>
      <c r="Z33" s="13">
        <f>'pol tax mil euro'!Z33/POPULATION!Z34*1000000</f>
        <v>0.45584584437021108</v>
      </c>
      <c r="AA33" s="13">
        <f>'pol tax mil euro'!AA33/POPULATION!AA34*1000000</f>
        <v>0.47286857078526917</v>
      </c>
      <c r="AB33" s="13">
        <f>'pol tax mil euro'!AB33/POPULATION!AB34*1000000</f>
        <v>0.53328717066262288</v>
      </c>
      <c r="AC33" s="13">
        <f>'pol tax mil euro'!AC33/POPULATION!AC34*1000000</f>
        <v>0.59969233997535487</v>
      </c>
      <c r="AD33" s="13">
        <f>'pol tax mil euro'!AD33/POPULATION!AD34*1000000</f>
        <v>0.61190556208511382</v>
      </c>
      <c r="AE33" s="13">
        <f>'pol tax mil euro'!AE33/POPULATION!AE34*1000000</f>
        <v>0.61780270339554422</v>
      </c>
    </row>
    <row r="34" spans="1:31" ht="11.35" customHeight="1" x14ac:dyDescent="0.45">
      <c r="A34" s="5" t="s">
        <v>66</v>
      </c>
      <c r="B34" s="13">
        <f>'pol tax mil euro'!B34/POPULATION!B35*1000000</f>
        <v>5.4285623809674615</v>
      </c>
      <c r="C34" s="13">
        <f>'pol tax mil euro'!C34/POPULATION!C35*1000000</f>
        <v>3.3663841918617914</v>
      </c>
      <c r="D34" s="13">
        <f>'pol tax mil euro'!D34/POPULATION!D35*1000000</f>
        <v>3.905406622784525</v>
      </c>
      <c r="E34" s="13">
        <f>'pol tax mil euro'!E34/POPULATION!E35*1000000</f>
        <v>4.8112697570636245</v>
      </c>
      <c r="F34" s="13">
        <f>'pol tax mil euro'!F34/POPULATION!F35*1000000</f>
        <v>4.685760847258349</v>
      </c>
      <c r="G34" s="13">
        <f>'pol tax mil euro'!G34/POPULATION!G35*1000000</f>
        <v>6.6456882261646939</v>
      </c>
      <c r="H34" s="13">
        <f>'pol tax mil euro'!H34/POPULATION!H35*1000000</f>
        <v>7.9141990277846173</v>
      </c>
      <c r="I34" s="13">
        <f>'pol tax mil euro'!I34/POPULATION!I35*1000000</f>
        <v>19.242477279634269</v>
      </c>
      <c r="J34" s="13">
        <f>'pol tax mil euro'!J34/POPULATION!J35*1000000</f>
        <v>33.438043380736055</v>
      </c>
      <c r="K34" s="13">
        <f>'pol tax mil euro'!K34/POPULATION!K35*1000000</f>
        <v>30.880074613072416</v>
      </c>
      <c r="L34" s="13">
        <f>'pol tax mil euro'!L34/POPULATION!L35*1000000</f>
        <v>34.406459784039768</v>
      </c>
      <c r="M34" s="13">
        <f>'pol tax mil euro'!M34/POPULATION!M35*1000000</f>
        <v>29.245896140380307</v>
      </c>
      <c r="N34" s="13">
        <f>'pol tax mil euro'!N34/POPULATION!N35*1000000</f>
        <v>30.685786795213037</v>
      </c>
      <c r="O34" s="13">
        <f>'pol tax mil euro'!O34/POPULATION!O35*1000000</f>
        <v>30.821745746464778</v>
      </c>
      <c r="P34" s="13">
        <f>'pol tax mil euro'!P34/POPULATION!P35*1000000</f>
        <v>26.752123883442021</v>
      </c>
      <c r="Q34" s="13">
        <f>'pol tax mil euro'!Q34/POPULATION!Q35*1000000</f>
        <v>28.539660455227615</v>
      </c>
      <c r="R34" s="13">
        <f>'pol tax mil euro'!R34/POPULATION!R35*1000000</f>
        <v>29.358268920572687</v>
      </c>
      <c r="S34" s="13">
        <f>'pol tax mil euro'!S34/POPULATION!S35*1000000</f>
        <v>28.338658893036037</v>
      </c>
      <c r="T34" s="13">
        <f>'pol tax mil euro'!T34/POPULATION!T35*1000000</f>
        <v>29.186607286403241</v>
      </c>
      <c r="U34" s="13">
        <f>'pol tax mil euro'!U34/POPULATION!U35*1000000</f>
        <v>28.572329622504654</v>
      </c>
      <c r="V34" s="13">
        <f>'pol tax mil euro'!V34/POPULATION!V35*1000000</f>
        <v>29.487986178506297</v>
      </c>
      <c r="W34" s="13">
        <f>'pol tax mil euro'!W34/POPULATION!W35*1000000</f>
        <v>28.921784256085203</v>
      </c>
      <c r="X34" s="13">
        <f>'pol tax mil euro'!X34/POPULATION!X35*1000000</f>
        <v>26.753537812909176</v>
      </c>
      <c r="Y34" s="13">
        <f>'pol tax mil euro'!Y34/POPULATION!Y35*1000000</f>
        <v>26.861743303917017</v>
      </c>
      <c r="Z34" s="13">
        <f>'pol tax mil euro'!Z34/POPULATION!Z35*1000000</f>
        <v>26.757550069488897</v>
      </c>
      <c r="AA34" s="13">
        <f>'pol tax mil euro'!AA34/POPULATION!AA35*1000000</f>
        <v>27.101033894900471</v>
      </c>
      <c r="AB34" s="13">
        <f>'pol tax mil euro'!AB34/POPULATION!AB35*1000000</f>
        <v>26.145377593022587</v>
      </c>
      <c r="AC34" s="13">
        <f>'pol tax mil euro'!AC34/POPULATION!AC35*1000000</f>
        <v>26.30529902523752</v>
      </c>
      <c r="AD34" s="13">
        <f>'pol tax mil euro'!AD34/POPULATION!AD35*1000000</f>
        <v>25.796278835997832</v>
      </c>
      <c r="AE34" s="13">
        <f>'pol tax mil euro'!AE34/POPULATION!AE35*1000000</f>
        <v>25.94695070361859</v>
      </c>
    </row>
    <row r="35" spans="1:31" ht="11.35" customHeight="1" x14ac:dyDescent="0.45">
      <c r="A35" s="5" t="s">
        <v>67</v>
      </c>
      <c r="B35" s="13">
        <f>'pol tax mil euro'!B35/POPULATION!B36*1000000</f>
        <v>1.7587072344291399</v>
      </c>
      <c r="C35" s="13">
        <f>'pol tax mil euro'!C35/POPULATION!C36*1000000</f>
        <v>1.7940344163985553</v>
      </c>
      <c r="D35" s="13">
        <f>'pol tax mil euro'!D35/POPULATION!D36*1000000</f>
        <v>1.8256412239455713</v>
      </c>
      <c r="E35" s="13">
        <f>'pol tax mil euro'!E35/POPULATION!E36*1000000</f>
        <v>1.74287490835522</v>
      </c>
      <c r="F35" s="13">
        <f>'pol tax mil euro'!F35/POPULATION!F36*1000000</f>
        <v>1.5407771969424751</v>
      </c>
      <c r="G35" s="13">
        <f>'pol tax mil euro'!G35/POPULATION!G36*1000000</f>
        <v>1.592988774800844</v>
      </c>
      <c r="H35" s="13">
        <f>'pol tax mil euro'!H35/POPULATION!H36*1000000</f>
        <v>1.5691281838289441</v>
      </c>
      <c r="I35" s="13">
        <f>'pol tax mil euro'!I35/POPULATION!I36*1000000</f>
        <v>4.9600749291079245</v>
      </c>
      <c r="J35" s="13">
        <f>'pol tax mil euro'!J35/POPULATION!J36*1000000</f>
        <v>5.6578081007681487</v>
      </c>
      <c r="K35" s="13">
        <f>'pol tax mil euro'!K35/POPULATION!K36*1000000</f>
        <v>5.841535776614311</v>
      </c>
      <c r="L35" s="13">
        <f>'pol tax mil euro'!L35/POPULATION!L36*1000000</f>
        <v>6.5330463259990124</v>
      </c>
      <c r="M35" s="13">
        <f>'pol tax mil euro'!M35/POPULATION!M36*1000000</f>
        <v>9.5999797503335227</v>
      </c>
      <c r="N35" s="13">
        <f>'pol tax mil euro'!N35/POPULATION!N36*1000000</f>
        <v>11.021406318046296</v>
      </c>
      <c r="O35" s="13">
        <f>'pol tax mil euro'!O35/POPULATION!O36*1000000</f>
        <v>7.8570493208414183</v>
      </c>
      <c r="P35" s="13">
        <f>'pol tax mil euro'!P35/POPULATION!P36*1000000</f>
        <v>7.3981853080065942</v>
      </c>
      <c r="Q35" s="13">
        <f>'pol tax mil euro'!Q35/POPULATION!Q36*1000000</f>
        <v>6.9159859825133898</v>
      </c>
      <c r="R35" s="13">
        <f>'pol tax mil euro'!R35/POPULATION!R36*1000000</f>
        <v>6.5591755578080893</v>
      </c>
      <c r="S35" s="13">
        <f>'pol tax mil euro'!S35/POPULATION!S36*1000000</f>
        <v>6.3689765339667037</v>
      </c>
      <c r="T35" s="13">
        <f>'pol tax mil euro'!T35/POPULATION!T36*1000000</f>
        <v>5.9029695226393857</v>
      </c>
      <c r="U35" s="13">
        <f>'pol tax mil euro'!U35/POPULATION!U36*1000000</f>
        <v>5.7072177009052343</v>
      </c>
      <c r="V35" s="13">
        <f>'pol tax mil euro'!V35/POPULATION!V36*1000000</f>
        <v>5.8048282816693773</v>
      </c>
      <c r="W35" s="13">
        <f>'pol tax mil euro'!W35/POPULATION!W36*1000000</f>
        <v>5.9230570198361594</v>
      </c>
      <c r="X35" s="13">
        <f>'pol tax mil euro'!X35/POPULATION!X36*1000000</f>
        <v>5.260017629062232</v>
      </c>
      <c r="Y35" s="13">
        <f>'pol tax mil euro'!Y35/POPULATION!Y36*1000000</f>
        <v>5.2525022413615723</v>
      </c>
      <c r="Z35" s="13">
        <f>'pol tax mil euro'!Z35/POPULATION!Z36*1000000</f>
        <v>5.2638135659612351</v>
      </c>
      <c r="AA35" s="13">
        <f>'pol tax mil euro'!AA35/POPULATION!AA36*1000000</f>
        <v>4.7472705942406499</v>
      </c>
      <c r="AB35" s="13">
        <f>'pol tax mil euro'!AB35/POPULATION!AB36*1000000</f>
        <v>4.7254642631270372</v>
      </c>
      <c r="AC35" s="13">
        <f>'pol tax mil euro'!AC35/POPULATION!AC36*1000000</f>
        <v>5.0085450710175623</v>
      </c>
      <c r="AD35" s="13">
        <f>'pol tax mil euro'!AD35/POPULATION!AD36*1000000</f>
        <v>4.8740124874926138</v>
      </c>
      <c r="AE35" s="13">
        <f>'pol tax mil euro'!AE35/POPULATION!AE36*1000000</f>
        <v>3.489602257236224</v>
      </c>
    </row>
    <row r="36" spans="1:31" ht="11.35" customHeight="1" x14ac:dyDescent="0.45">
      <c r="A36" s="5" t="s">
        <v>68</v>
      </c>
      <c r="B36" s="13">
        <f>'pol tax mil euro'!B36/POPULATION!B37*1000000</f>
        <v>4.9031586932807505</v>
      </c>
      <c r="C36" s="13">
        <f>'pol tax mil euro'!C36/POPULATION!C37*1000000</f>
        <v>5.9822241366034339</v>
      </c>
      <c r="D36" s="13">
        <f>'pol tax mil euro'!D36/POPULATION!D37*1000000</f>
        <v>8.6685943199176982</v>
      </c>
      <c r="E36" s="13">
        <f>'pol tax mil euro'!E36/POPULATION!E37*1000000</f>
        <v>10.619058470680731</v>
      </c>
      <c r="F36" s="13">
        <f>'pol tax mil euro'!F36/POPULATION!F37*1000000</f>
        <v>11.43489301397809</v>
      </c>
      <c r="G36" s="13">
        <f>'pol tax mil euro'!G36/POPULATION!G37*1000000</f>
        <v>11.215744120146145</v>
      </c>
      <c r="H36" s="13">
        <f>'pol tax mil euro'!H36/POPULATION!H37*1000000</f>
        <v>11.194501569642828</v>
      </c>
      <c r="I36" s="13">
        <f>'pol tax mil euro'!I36/POPULATION!I37*1000000</f>
        <v>11.934779892821826</v>
      </c>
      <c r="J36" s="13">
        <f>'pol tax mil euro'!J36/POPULATION!J37*1000000</f>
        <v>14.021487449328168</v>
      </c>
      <c r="K36" s="13">
        <f>'pol tax mil euro'!K36/POPULATION!K37*1000000</f>
        <v>14.368553787818991</v>
      </c>
      <c r="L36" s="13">
        <f>'pol tax mil euro'!L36/POPULATION!L37*1000000</f>
        <v>20.051136126017383</v>
      </c>
      <c r="M36" s="13">
        <f>'pol tax mil euro'!M36/POPULATION!M37*1000000</f>
        <v>22.262052903770851</v>
      </c>
      <c r="N36" s="13">
        <f>'pol tax mil euro'!N36/POPULATION!N37*1000000</f>
        <v>23.877406572540412</v>
      </c>
      <c r="O36" s="13">
        <f>'pol tax mil euro'!O36/POPULATION!O37*1000000</f>
        <v>19.432187702104184</v>
      </c>
      <c r="P36" s="13">
        <f>'pol tax mil euro'!P36/POPULATION!P37*1000000</f>
        <v>17.27273307581941</v>
      </c>
      <c r="Q36" s="13">
        <f>'pol tax mil euro'!Q36/POPULATION!Q37*1000000</f>
        <v>19.247202662018935</v>
      </c>
      <c r="R36" s="13">
        <f>'pol tax mil euro'!R36/POPULATION!R37*1000000</f>
        <v>24.370841608877384</v>
      </c>
      <c r="S36" s="13">
        <f>'pol tax mil euro'!S36/POPULATION!S37*1000000</f>
        <v>22.58729294441471</v>
      </c>
      <c r="T36" s="13">
        <f>'pol tax mil euro'!T36/POPULATION!T37*1000000</f>
        <v>23.034366906875185</v>
      </c>
      <c r="U36" s="13">
        <f>'pol tax mil euro'!U36/POPULATION!U37*1000000</f>
        <v>19.995340535324797</v>
      </c>
      <c r="V36" s="13">
        <f>'pol tax mil euro'!V36/POPULATION!V37*1000000</f>
        <v>17.727408382651777</v>
      </c>
      <c r="W36" s="13">
        <f>'pol tax mil euro'!W36/POPULATION!W37*1000000</f>
        <v>13.303426744042799</v>
      </c>
      <c r="X36" s="13">
        <f>'pol tax mil euro'!X36/POPULATION!X37*1000000</f>
        <v>11.265973833503807</v>
      </c>
      <c r="Y36" s="13">
        <f>'pol tax mil euro'!Y36/POPULATION!Y37*1000000</f>
        <v>11.790035787293244</v>
      </c>
      <c r="Z36" s="13">
        <f>'pol tax mil euro'!Z36/POPULATION!Z37*1000000</f>
        <v>9.9675258009405354</v>
      </c>
      <c r="AA36" s="13">
        <f>'pol tax mil euro'!AA36/POPULATION!AA37*1000000</f>
        <v>9.5922532239020128</v>
      </c>
      <c r="AB36" s="13">
        <f>'pol tax mil euro'!AB36/POPULATION!AB37*1000000</f>
        <v>8.6739782279532331</v>
      </c>
      <c r="AC36" s="13">
        <f>'pol tax mil euro'!AC36/POPULATION!AC37*1000000</f>
        <v>8.1106786817659877</v>
      </c>
      <c r="AD36" s="13">
        <f>'pol tax mil euro'!AD36/POPULATION!AD37*1000000</f>
        <v>7.9080225091077061</v>
      </c>
      <c r="AE36" s="13">
        <f>'pol tax mil euro'!AE36/POPULATION!AE37*1000000</f>
        <v>7.1379485286100577</v>
      </c>
    </row>
    <row r="37" spans="1:31" ht="11.35" customHeight="1" x14ac:dyDescent="0.45">
      <c r="A37" s="5" t="s">
        <v>69</v>
      </c>
      <c r="B37" s="13">
        <f>'pol tax mil euro'!B37/POPULATION!B38*1000000</f>
        <v>14.828079684850278</v>
      </c>
      <c r="C37" s="13">
        <f>'pol tax mil euro'!C37/POPULATION!C38*1000000</f>
        <v>20.252342971357496</v>
      </c>
      <c r="D37" s="13">
        <f>'pol tax mil euro'!D37/POPULATION!D38*1000000</f>
        <v>17.486575553912097</v>
      </c>
      <c r="E37" s="13">
        <f>'pol tax mil euro'!E37/POPULATION!E38*1000000</f>
        <v>17.544821350362383</v>
      </c>
      <c r="F37" s="13">
        <f>'pol tax mil euro'!F37/POPULATION!F38*1000000</f>
        <v>17.9132857377448</v>
      </c>
      <c r="G37" s="13">
        <f>'pol tax mil euro'!G37/POPULATION!G38*1000000</f>
        <v>32.617775062388382</v>
      </c>
      <c r="H37" s="13">
        <f>'pol tax mil euro'!H37/POPULATION!H38*1000000</f>
        <v>28.232114407271951</v>
      </c>
      <c r="I37" s="13">
        <f>'pol tax mil euro'!I37/POPULATION!I38*1000000</f>
        <v>28.266514972060119</v>
      </c>
      <c r="J37" s="13">
        <f>'pol tax mil euro'!J37/POPULATION!J38*1000000</f>
        <v>28.758091568662628</v>
      </c>
      <c r="K37" s="13">
        <f>'pol tax mil euro'!K37/POPULATION!K38*1000000</f>
        <v>26.54509356961653</v>
      </c>
      <c r="L37" s="13">
        <f>'pol tax mil euro'!L37/POPULATION!L38*1000000</f>
        <v>23.336017343380465</v>
      </c>
      <c r="M37" s="13">
        <f>'pol tax mil euro'!M37/POPULATION!M38*1000000</f>
        <v>23.862280929008666</v>
      </c>
      <c r="N37" s="13">
        <f>'pol tax mil euro'!N37/POPULATION!N38*1000000</f>
        <v>23.345111412966844</v>
      </c>
      <c r="O37" s="13">
        <f>'pol tax mil euro'!O37/POPULATION!O38*1000000</f>
        <v>19.525364842821901</v>
      </c>
      <c r="P37" s="13">
        <f>'pol tax mil euro'!P37/POPULATION!P38*1000000</f>
        <v>13.835911726299802</v>
      </c>
      <c r="Q37" s="13">
        <f>'pol tax mil euro'!Q37/POPULATION!Q38*1000000</f>
        <v>14.603858690403976</v>
      </c>
      <c r="R37" s="13">
        <f>'pol tax mil euro'!R37/POPULATION!R38*1000000</f>
        <v>15.290630307033988</v>
      </c>
      <c r="S37" s="13">
        <f>'pol tax mil euro'!S37/POPULATION!S38*1000000</f>
        <v>14.078038734115411</v>
      </c>
      <c r="T37" s="13">
        <f>'pol tax mil euro'!T37/POPULATION!T38*1000000</f>
        <v>12.483396371223495</v>
      </c>
      <c r="U37" s="13">
        <f>'pol tax mil euro'!U37/POPULATION!U38*1000000</f>
        <v>12.500953875554906</v>
      </c>
      <c r="V37" s="13">
        <f>'pol tax mil euro'!V37/POPULATION!V38*1000000</f>
        <v>13.095860364170589</v>
      </c>
      <c r="W37" s="13">
        <f>'pol tax mil euro'!W37/POPULATION!W38*1000000</f>
        <v>12.950947095107033</v>
      </c>
      <c r="X37" s="13">
        <f>'pol tax mil euro'!X37/POPULATION!X38*1000000</f>
        <v>19.282346153180445</v>
      </c>
      <c r="Y37" s="13">
        <f>'pol tax mil euro'!Y37/POPULATION!Y38*1000000</f>
        <v>24.562653738912569</v>
      </c>
      <c r="Z37" s="13">
        <f>'pol tax mil euro'!Z37/POPULATION!Z38*1000000</f>
        <v>24.656445606799878</v>
      </c>
      <c r="AA37" s="13">
        <f>'pol tax mil euro'!AA37/POPULATION!AA38*1000000</f>
        <v>27.695718720022647</v>
      </c>
      <c r="AB37" s="13">
        <f>'pol tax mil euro'!AB37/POPULATION!AB38*1000000</f>
        <v>31.942439250450057</v>
      </c>
      <c r="AC37" s="13">
        <f>'pol tax mil euro'!AC37/POPULATION!AC38*1000000</f>
        <v>31.23228265172747</v>
      </c>
      <c r="AD37" s="13">
        <f>'pol tax mil euro'!AD37/POPULATION!AD38*1000000</f>
        <v>27.48928010267683</v>
      </c>
      <c r="AE37" s="13">
        <f>'pol tax mil euro'!AE37/POPULATION!AE38*1000000</f>
        <v>31.417665407123227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total mil euro</vt:lpstr>
      <vt:lpstr>energy tax mil euro</vt:lpstr>
      <vt:lpstr>transport tax mil euro</vt:lpstr>
      <vt:lpstr>pol tax mil euro</vt:lpstr>
      <vt:lpstr>POPULATION</vt:lpstr>
      <vt:lpstr>total tax euro pers</vt:lpstr>
      <vt:lpstr>energy tax euro pers</vt:lpstr>
      <vt:lpstr>transport tax euro pers</vt:lpstr>
      <vt:lpstr>pol tax euro pers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Liliana</cp:lastModifiedBy>
  <dcterms:created xsi:type="dcterms:W3CDTF">2026-04-30T19:21:11Z</dcterms:created>
  <dcterms:modified xsi:type="dcterms:W3CDTF">2026-04-30T20:04:30Z</dcterms:modified>
</cp:coreProperties>
</file>